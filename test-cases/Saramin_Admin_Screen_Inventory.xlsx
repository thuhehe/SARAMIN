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TỔNG HỢP" sheetId="2" state="visible" r:id="rId2"/>
    <sheet name="DANH MỤC MÀN HÌNH" sheetId="3" state="visible" r:id="rId3"/>
  </sheets>
  <definedNames>
    <definedName name="_xlnm._FilterDatabase" localSheetId="2" hidden="1">'DANH MỤC MÀN HÌNH'!$A$3:$N$202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3864"/>
      <sz val="12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1FA"/>
      </patternFill>
    </fill>
    <fill>
      <patternFill patternType="solid">
        <fgColor rgb="00FFF2CC"/>
      </patternFill>
    </fill>
    <fill>
      <patternFill patternType="solid">
        <fgColor rgb="00FFF9E0"/>
      </patternFill>
    </fill>
    <fill>
      <patternFill patternType="solid">
        <fgColor rgb="00EDEDED"/>
      </patternFill>
    </fill>
    <fill>
      <patternFill patternType="solid">
        <fgColor rgb="00E6F4EA"/>
      </patternFill>
    </fill>
    <fill>
      <patternFill patternType="solid">
        <fgColor rgb="00DCEEF8"/>
      </patternFill>
    </fill>
    <fill>
      <patternFill patternType="solid">
        <fgColor rgb="00F1F1F1"/>
      </patternFill>
    </fill>
    <fill>
      <patternFill patternType="solid">
        <fgColor rgb="00E2F0D9"/>
      </patternFill>
    </fill>
    <fill>
      <patternFill patternType="solid">
        <fgColor rgb="00FADBD8"/>
      </patternFill>
    </fill>
    <fill>
      <patternFill patternType="solid">
        <fgColor rgb="00FDEFE3"/>
      </patternFill>
    </fill>
    <fill>
      <patternFill patternType="solid">
        <fgColor rgb="00E4DFEC"/>
      </patternFill>
    </fill>
    <fill>
      <patternFill patternType="solid">
        <fgColor rgb="00FDF0E6"/>
      </patternFill>
    </fill>
    <fill>
      <patternFill patternType="solid">
        <fgColor rgb="00D9E9FB"/>
      </patternFill>
    </fill>
    <fill>
      <patternFill patternType="solid">
        <fgColor rgb="00FCE4D6"/>
      </patternFill>
    </fill>
    <fill>
      <patternFill patternType="solid">
        <fgColor rgb="00F3E8FD"/>
      </patternFill>
    </fill>
    <fill>
      <patternFill patternType="solid">
        <fgColor rgb="00FFF4E5"/>
      </patternFill>
    </fill>
    <fill>
      <patternFill patternType="solid">
        <fgColor rgb="00E8F8F5"/>
      </patternFill>
    </fill>
    <fill>
      <patternFill patternType="solid">
        <fgColor rgb="00EFEFEF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7" borderId="1" pivotButton="0" quotePrefix="0" xfId="0"/>
    <xf numFmtId="0" fontId="2" fillId="14" borderId="1" pivotButton="0" quotePrefix="0" xfId="0"/>
    <xf numFmtId="0" fontId="2" fillId="17" borderId="1" pivotButton="0" quotePrefix="0" xfId="0"/>
    <xf numFmtId="0" fontId="2" fillId="18" borderId="1" pivotButton="0" quotePrefix="0" xfId="0"/>
    <xf numFmtId="0" fontId="2" fillId="19" borderId="1" pivotButton="0" quotePrefix="0" xfId="0"/>
    <xf numFmtId="0" fontId="2" fillId="20" borderId="1" pivotButton="0" quotePrefix="0" xfId="0"/>
    <xf numFmtId="0" fontId="4" fillId="21" borderId="1" pivotButton="0" quotePrefix="0" xfId="0"/>
    <xf numFmtId="0" fontId="0" fillId="21" borderId="1" pivotButton="0" quotePrefix="0" xfId="0"/>
    <xf numFmtId="0" fontId="4" fillId="21" borderId="1" applyAlignment="1" pivotButton="0" quotePrefix="0" xfId="0">
      <alignment horizontal="center"/>
    </xf>
    <xf numFmtId="0" fontId="8" fillId="0" borderId="0" pivotButton="0" quotePrefix="0" xfId="0"/>
    <xf numFmtId="0" fontId="7" fillId="2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2" fillId="9" borderId="2" applyAlignment="1" pivotButton="0" quotePrefix="0" xfId="0">
      <alignment horizontal="center" vertical="top" wrapText="1"/>
    </xf>
    <xf numFmtId="0" fontId="2" fillId="14" borderId="2" applyAlignment="1" pivotButton="0" quotePrefix="0" xfId="0">
      <alignment vertical="top" wrapText="1"/>
    </xf>
    <xf numFmtId="0" fontId="2" fillId="15" borderId="2" applyAlignment="1" pivotButton="0" quotePrefix="0" xfId="0">
      <alignment horizontal="center"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top" wrapText="1"/>
    </xf>
    <xf numFmtId="0" fontId="2" fillId="16" borderId="1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2" fillId="17" borderId="2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2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2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2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SARAMIN VN — HQ ADMIN · DANH MỤC MÀN HÌNH (Screen inventory)</t>
        </is>
      </c>
    </row>
    <row r="3" ht="30" customHeight="1">
      <c r="A3" s="2" t="inlineStr">
        <is>
          <t>File này liệt kê TOÀN BỘ màn hình của trang HQ Admin, theo đúng ba cấp: Nhóm menu (tab lớn) → Trang → Tab / Section bên trong trang.</t>
        </is>
      </c>
    </row>
    <row r="4" ht="30" customHeight="1">
      <c r="A4" s="2" t="inlineStr">
        <is>
          <t>Mỗi dòng là một đơn vị nhỏ nhất — một tab, một section, một form, một modal hoặc một hành động. Đây là đơn vị để khách hàng xác nhận và để mình phân công người kiểm tra.</t>
        </is>
      </c>
    </row>
    <row r="5" ht="30" customHeight="1">
      <c r="A5" s="2" t="inlineStr">
        <is>
          <t>Tên nhóm menu, tên trang và tên tab được lấy ĐÚNG như đang hiển thị trên prototype, để đọc file và mở màn hình không bị lệch tên.</t>
        </is>
      </c>
    </row>
    <row r="6" ht="15" customHeight="1">
      <c r="A6" s="2" t="inlineStr">
        <is>
          <t>Cách dùng: đi từ trên xuống, mở mockup theo cột “Link mockup”, rồi điền 3 cột vàng — Người check, KH xác nhận, Ghi chú.</t>
        </is>
      </c>
    </row>
    <row r="8" ht="20" customHeight="1">
      <c r="A8" s="3" t="inlineStr">
        <is>
          <t>CÁC CỘT TRONG SHEET “DANH MỤC MÀN HÌNH”</t>
        </is>
      </c>
      <c r="B8" s="4" t="inlineStr"/>
    </row>
    <row r="9" ht="16" customHeight="1">
      <c r="A9" s="5" t="inlineStr">
        <is>
          <t>Nhóm menu / Trang / Tab</t>
        </is>
      </c>
      <c r="B9" s="6" t="inlineStr">
        <is>
          <t>Ba cấp của cây menu. Giá trị được lặp lại trên từng dòng để lọc (Filter) chạy đúng — không phải lỗi trình bày.</t>
        </is>
      </c>
    </row>
    <row r="10" ht="28" customHeight="1">
      <c r="A10" s="5" t="inlineStr">
        <is>
          <t>Loại / Type</t>
        </is>
      </c>
      <c r="B10" s="6" t="inlineStr">
        <is>
          <t>Dòng này là gì: Tab · Tab trạng thái · Bộ lọc · Bảng danh sách · Trang chi tiết · Form tạo mới · Bước trong form · Modal · Khối/Section · Hành động.</t>
        </is>
      </c>
    </row>
    <row r="11" ht="16" customHeight="1">
      <c r="A11" s="5" t="inlineStr">
        <is>
          <t>Mockup ID</t>
        </is>
      </c>
      <c r="B11" s="6" t="inlineStr">
        <is>
          <t>Mã màn hình trong prototype. Dùng để tìm nhanh và để dev/BA nói cùng một tên.</t>
        </is>
      </c>
    </row>
    <row r="12" ht="16" customHeight="1">
      <c r="A12" s="5" t="inlineStr">
        <is>
          <t>Link mockup</t>
        </is>
      </c>
      <c r="B12" s="6" t="inlineStr">
        <is>
          <t>Đường dẫn mở đúng màn hình đó trên trang spec. Ghép sau tên miền của trang spec là mở được.</t>
        </is>
      </c>
    </row>
    <row r="13" ht="16" customHeight="1">
      <c r="A13" s="5" t="inlineStr">
        <is>
          <t>Spec (module → feature)</t>
        </is>
      </c>
      <c r="B13" s="6" t="inlineStr">
        <is>
          <t>Yêu cầu chi tiết của màn hình nằm ở module nào trong tài liệu spec.</t>
        </is>
      </c>
    </row>
    <row r="14" ht="16" customHeight="1">
      <c r="A14" s="5" t="inlineStr">
        <is>
          <t>BA</t>
        </is>
      </c>
      <c r="B14" s="6" t="inlineStr">
        <is>
          <t>BA đang phụ trách module đó.</t>
        </is>
      </c>
    </row>
    <row r="15" ht="16" customHeight="1">
      <c r="A15" s="5" t="inlineStr">
        <is>
          <t>Người check (vàng)</t>
        </is>
      </c>
      <c r="B15" s="6" t="inlineStr">
        <is>
          <t>Mình điền: ai sẽ rà màn hình này.</t>
        </is>
      </c>
    </row>
    <row r="16" ht="16" customHeight="1">
      <c r="A16" s="5" t="inlineStr">
        <is>
          <t>KH xác nhận (vàng)</t>
        </is>
      </c>
      <c r="B16" s="6" t="inlineStr">
        <is>
          <t>Khách chọn: OK · Cần sửa · Chưa xem · Không cần (bỏ khỏi phạm vi).</t>
        </is>
      </c>
    </row>
    <row r="17" ht="16" customHeight="1">
      <c r="A17" s="5" t="inlineStr">
        <is>
          <t>Ghi chú của KH (vàng)</t>
        </is>
      </c>
      <c r="B17" s="6" t="inlineStr">
        <is>
          <t>Khách viết yêu cầu sửa cụ thể. Một dòng = một màn hình, nên ghi chú không bị lẫn.</t>
        </is>
      </c>
    </row>
    <row r="19" ht="20" customHeight="1">
      <c r="A19" s="3" t="inlineStr">
        <is>
          <t>QUY ƯỚC ĐỌC</t>
        </is>
      </c>
      <c r="B19" s="4" t="inlineStr"/>
    </row>
    <row r="20" ht="28" customHeight="1">
      <c r="A20" s="5" t="inlineStr">
        <is>
          <t>Tab trạng thái</t>
        </is>
      </c>
      <c r="B20" s="6" t="inlineStr">
        <is>
          <t>Các tab lọc phía trên bảng (All · Draft · Open…). Tách thành từng dòng vì mỗi tab là một danh sách khách phải xác nhận riêng.</t>
        </is>
      </c>
    </row>
    <row r="21" ht="28" customHeight="1">
      <c r="A21" s="5" t="inlineStr">
        <is>
          <t>Bước trong form</t>
        </is>
      </c>
      <c r="B21" s="6" t="inlineStr">
        <is>
          <t>Một bước / một khối của form nhiều bước (ví dụ báo giá có 5 bước). Xác nhận theo từng bước sẽ gọn hơn xác nhận cả form.</t>
        </is>
      </c>
    </row>
    <row r="22" ht="28" customHeight="1">
      <c r="A22" s="5" t="inlineStr">
        <is>
          <t>Hành động</t>
        </is>
      </c>
      <c r="B22" s="6" t="inlineStr">
        <is>
          <t>Nút tạo ra thay đổi thật (Issue PO, Xuất hoá đơn, Block user…). Đây là nhóm cần khách xác nhận kỹ nhất vì liên quan quyền và tiền.</t>
        </is>
      </c>
    </row>
    <row r="23" ht="16" customHeight="1">
      <c r="A23" s="5" t="inlineStr">
        <is>
          <t>Màu nền theo nhóm menu</t>
        </is>
      </c>
      <c r="B23" s="6" t="inlineStr">
        <is>
          <t>Mỗi nhóm menu một màu nhạt, để cuộn nhanh vẫn biết đang ở đâu.</t>
        </is>
      </c>
    </row>
    <row r="25" ht="20" customHeight="1">
      <c r="A25" s="3" t="inlineStr">
        <is>
          <t>BA CẤP CỦA HQ ADMIN</t>
        </is>
      </c>
      <c r="B25" s="4" t="inlineStr"/>
    </row>
    <row r="26" ht="16" customHeight="1">
      <c r="A26" s="5" t="inlineStr">
        <is>
          <t>7 nhóm menu</t>
        </is>
      </c>
      <c r="B26" s="6" t="inlineStr">
        <is>
          <t>Analytics · Recruitment · Service · User · CRM · Products · System.</t>
        </is>
      </c>
    </row>
    <row r="27" ht="16" customHeight="1">
      <c r="A27" s="5" t="inlineStr">
        <is>
          <t>Trang</t>
        </is>
      </c>
      <c r="B27" s="6" t="inlineStr">
        <is>
          <t>Mục con trong nhóm menu — chính là các dòng trong sidebar bên trái.</t>
        </is>
      </c>
    </row>
    <row r="28" ht="28" customHeight="1">
      <c r="A28" s="5" t="inlineStr">
        <is>
          <t>Tab / Section</t>
        </is>
      </c>
      <c r="B28" s="6" t="inlineStr">
        <is>
          <t>Bên trong một trang. Ví dụ trang Company detail có 8 tab: Overview · Contacts · Users · Products &amp; billing · Company page · Jobs · Applications · Resumes.</t>
        </is>
      </c>
    </row>
  </sheetData>
  <mergeCells count="5">
    <mergeCell ref="A4:B4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Tổng hợp theo trang — tiến độ xác nhận của khách hàng</t>
        </is>
      </c>
    </row>
    <row r="2">
      <c r="A2" s="8" t="inlineStr">
        <is>
          <t>Các con số tự tính từ sheet DANH MỤC MÀN HÌNH. Không cần gõ gì ở đây.</t>
        </is>
      </c>
    </row>
    <row r="4" ht="24" customHeight="1">
      <c r="A4" s="9" t="inlineStr">
        <is>
          <t>Nhóm menu</t>
        </is>
      </c>
      <c r="B4" s="9" t="inlineStr">
        <is>
          <t>Trang</t>
        </is>
      </c>
      <c r="C4" s="9" t="inlineStr">
        <is>
          <t>Mockup ID</t>
        </is>
      </c>
      <c r="D4" s="9" t="inlineStr">
        <is>
          <t>Số dòng</t>
        </is>
      </c>
      <c r="E4" s="9" t="inlineStr">
        <is>
          <t>OK</t>
        </is>
      </c>
      <c r="F4" s="9" t="inlineStr">
        <is>
          <t>Cần sửa</t>
        </is>
      </c>
      <c r="G4" s="9" t="inlineStr">
        <is>
          <t>Chưa xem</t>
        </is>
      </c>
      <c r="H4" s="9" t="inlineStr">
        <is>
          <t>Không cần</t>
        </is>
      </c>
    </row>
    <row r="5">
      <c r="A5" s="10" t="inlineStr">
        <is>
          <t>Analytics</t>
        </is>
      </c>
      <c r="B5" s="11" t="inlineStr">
        <is>
          <t>Dashboard</t>
        </is>
      </c>
      <c r="C5" s="12" t="inlineStr">
        <is>
          <t>admin-analytics-dashboard</t>
        </is>
      </c>
      <c r="D5" s="13" t="n">
        <v>2</v>
      </c>
      <c r="E5" s="13">
        <f>COUNTIF('DANH MỤC MÀN HÌNH'!$M$4:$M$5,"OK")</f>
        <v/>
      </c>
      <c r="F5" s="13">
        <f>COUNTIF('DANH MỤC MÀN HÌNH'!$M$4:$M$5,"Cần sửa")</f>
        <v/>
      </c>
      <c r="G5" s="13">
        <f>COUNTIF('DANH MỤC MÀN HÌNH'!$M$4:$M$5,"Chưa xem")</f>
        <v/>
      </c>
      <c r="H5" s="13">
        <f>COUNTIF('DANH MỤC MÀN HÌNH'!$M$4:$M$5,"Không cần")</f>
        <v/>
      </c>
    </row>
    <row r="6">
      <c r="A6" s="10" t="inlineStr">
        <is>
          <t>Analytics</t>
        </is>
      </c>
      <c r="B6" s="11" t="inlineStr">
        <is>
          <t>Sales report</t>
        </is>
      </c>
      <c r="C6" s="12" t="inlineStr">
        <is>
          <t>admin-sales-report</t>
        </is>
      </c>
      <c r="D6" s="13" t="n">
        <v>2</v>
      </c>
      <c r="E6" s="13">
        <f>COUNTIF('DANH MỤC MÀN HÌNH'!$M$6:$M$7,"OK")</f>
        <v/>
      </c>
      <c r="F6" s="13">
        <f>COUNTIF('DANH MỤC MÀN HÌNH'!$M$6:$M$7,"Cần sửa")</f>
        <v/>
      </c>
      <c r="G6" s="13">
        <f>COUNTIF('DANH MỤC MÀN HÌNH'!$M$6:$M$7,"Chưa xem")</f>
        <v/>
      </c>
      <c r="H6" s="13">
        <f>COUNTIF('DANH MỤC MÀN HÌNH'!$M$6:$M$7,"Không cần")</f>
        <v/>
      </c>
    </row>
    <row r="7">
      <c r="A7" s="10" t="inlineStr">
        <is>
          <t>Analytics</t>
        </is>
      </c>
      <c r="B7" s="11" t="inlineStr">
        <is>
          <t>Recruit report</t>
        </is>
      </c>
      <c r="C7" s="12" t="inlineStr">
        <is>
          <t>admin-recruit-report</t>
        </is>
      </c>
      <c r="D7" s="13" t="n">
        <v>1</v>
      </c>
      <c r="E7" s="13">
        <f>COUNTIF('DANH MỤC MÀN HÌNH'!$M$8:$M$8,"OK")</f>
        <v/>
      </c>
      <c r="F7" s="13">
        <f>COUNTIF('DANH MỤC MÀN HÌNH'!$M$8:$M$8,"Cần sửa")</f>
        <v/>
      </c>
      <c r="G7" s="13">
        <f>COUNTIF('DANH MỤC MÀN HÌNH'!$M$8:$M$8,"Chưa xem")</f>
        <v/>
      </c>
      <c r="H7" s="13">
        <f>COUNTIF('DANH MỤC MÀN HÌNH'!$M$8:$M$8,"Không cần")</f>
        <v/>
      </c>
    </row>
    <row r="8">
      <c r="A8" s="10" t="inlineStr">
        <is>
          <t>Analytics</t>
        </is>
      </c>
      <c r="B8" s="11" t="inlineStr">
        <is>
          <t>Revenue report</t>
        </is>
      </c>
      <c r="C8" s="12" t="inlineStr">
        <is>
          <t>admin-revenue-report</t>
        </is>
      </c>
      <c r="D8" s="13" t="n">
        <v>2</v>
      </c>
      <c r="E8" s="13">
        <f>COUNTIF('DANH MỤC MÀN HÌNH'!$M$9:$M$10,"OK")</f>
        <v/>
      </c>
      <c r="F8" s="13">
        <f>COUNTIF('DANH MỤC MÀN HÌNH'!$M$9:$M$10,"Cần sửa")</f>
        <v/>
      </c>
      <c r="G8" s="13">
        <f>COUNTIF('DANH MỤC MÀN HÌNH'!$M$9:$M$10,"Chưa xem")</f>
        <v/>
      </c>
      <c r="H8" s="13">
        <f>COUNTIF('DANH MỤC MÀN HÌNH'!$M$9:$M$10,"Không cần")</f>
        <v/>
      </c>
    </row>
    <row r="9">
      <c r="A9" s="14" t="inlineStr">
        <is>
          <t>Recruitment</t>
        </is>
      </c>
      <c r="B9" s="11" t="inlineStr">
        <is>
          <t>Jobs</t>
        </is>
      </c>
      <c r="C9" s="12" t="inlineStr">
        <is>
          <t>admin-job-list</t>
        </is>
      </c>
      <c r="D9" s="13" t="n">
        <v>20</v>
      </c>
      <c r="E9" s="13">
        <f>COUNTIF('DANH MỤC MÀN HÌNH'!$M$11:$M$30,"OK")</f>
        <v/>
      </c>
      <c r="F9" s="13">
        <f>COUNTIF('DANH MỤC MÀN HÌNH'!$M$11:$M$30,"Cần sửa")</f>
        <v/>
      </c>
      <c r="G9" s="13">
        <f>COUNTIF('DANH MỤC MÀN HÌNH'!$M$11:$M$30,"Chưa xem")</f>
        <v/>
      </c>
      <c r="H9" s="13">
        <f>COUNTIF('DANH MỤC MÀN HÌNH'!$M$11:$M$30,"Không cần")</f>
        <v/>
      </c>
    </row>
    <row r="10">
      <c r="A10" s="14" t="inlineStr">
        <is>
          <t>Recruitment</t>
        </is>
      </c>
      <c r="B10" s="11" t="inlineStr">
        <is>
          <t>Applicants</t>
        </is>
      </c>
      <c r="C10" s="12" t="inlineStr">
        <is>
          <t>admin-job-applicants</t>
        </is>
      </c>
      <c r="D10" s="13" t="n">
        <v>7</v>
      </c>
      <c r="E10" s="13">
        <f>COUNTIF('DANH MỤC MÀN HÌNH'!$M$31:$M$37,"OK")</f>
        <v/>
      </c>
      <c r="F10" s="13">
        <f>COUNTIF('DANH MỤC MÀN HÌNH'!$M$31:$M$37,"Cần sửa")</f>
        <v/>
      </c>
      <c r="G10" s="13">
        <f>COUNTIF('DANH MỤC MÀN HÌNH'!$M$31:$M$37,"Chưa xem")</f>
        <v/>
      </c>
      <c r="H10" s="13">
        <f>COUNTIF('DANH MỤC MÀN HÌNH'!$M$31:$M$37,"Không cần")</f>
        <v/>
      </c>
    </row>
    <row r="11">
      <c r="A11" s="14" t="inlineStr">
        <is>
          <t>Recruitment</t>
        </is>
      </c>
      <c r="B11" s="11" t="inlineStr">
        <is>
          <t>Resumes</t>
        </is>
      </c>
      <c r="C11" s="12" t="inlineStr">
        <is>
          <t>admin-resumes</t>
        </is>
      </c>
      <c r="D11" s="13" t="n">
        <v>12</v>
      </c>
      <c r="E11" s="13">
        <f>COUNTIF('DANH MỤC MÀN HÌNH'!$M$38:$M$49,"OK")</f>
        <v/>
      </c>
      <c r="F11" s="13">
        <f>COUNTIF('DANH MỤC MÀN HÌNH'!$M$38:$M$49,"Cần sửa")</f>
        <v/>
      </c>
      <c r="G11" s="13">
        <f>COUNTIF('DANH MỤC MÀN HÌNH'!$M$38:$M$49,"Chưa xem")</f>
        <v/>
      </c>
      <c r="H11" s="13">
        <f>COUNTIF('DANH MỤC MÀN HÌNH'!$M$38:$M$49,"Không cần")</f>
        <v/>
      </c>
    </row>
    <row r="12">
      <c r="A12" s="15" t="inlineStr">
        <is>
          <t>Service</t>
        </is>
      </c>
      <c r="B12" s="11" t="inlineStr">
        <is>
          <t>Displays</t>
        </is>
      </c>
      <c r="C12" s="12" t="inlineStr">
        <is>
          <t>admin-banners</t>
        </is>
      </c>
      <c r="D12" s="13" t="n">
        <v>5</v>
      </c>
      <c r="E12" s="13">
        <f>COUNTIF('DANH MỤC MÀN HÌNH'!$M$50:$M$54,"OK")</f>
        <v/>
      </c>
      <c r="F12" s="13">
        <f>COUNTIF('DANH MỤC MÀN HÌNH'!$M$50:$M$54,"Cần sửa")</f>
        <v/>
      </c>
      <c r="G12" s="13">
        <f>COUNTIF('DANH MỤC MÀN HÌNH'!$M$50:$M$54,"Chưa xem")</f>
        <v/>
      </c>
      <c r="H12" s="13">
        <f>COUNTIF('DANH MỤC MÀN HÌNH'!$M$50:$M$54,"Không cần")</f>
        <v/>
      </c>
    </row>
    <row r="13">
      <c r="A13" s="15" t="inlineStr">
        <is>
          <t>Service</t>
        </is>
      </c>
      <c r="B13" s="11" t="inlineStr">
        <is>
          <t>Manual services</t>
        </is>
      </c>
      <c r="C13" s="12" t="inlineStr">
        <is>
          <t>admin-manual-services</t>
        </is>
      </c>
      <c r="D13" s="13" t="n">
        <v>2</v>
      </c>
      <c r="E13" s="13">
        <f>COUNTIF('DANH MỤC MÀN HÌNH'!$M$55:$M$56,"OK")</f>
        <v/>
      </c>
      <c r="F13" s="13">
        <f>COUNTIF('DANH MỤC MÀN HÌNH'!$M$55:$M$56,"Cần sửa")</f>
        <v/>
      </c>
      <c r="G13" s="13">
        <f>COUNTIF('DANH MỤC MÀN HÌNH'!$M$55:$M$56,"Chưa xem")</f>
        <v/>
      </c>
      <c r="H13" s="13">
        <f>COUNTIF('DANH MỤC MÀN HÌNH'!$M$55:$M$56,"Không cần")</f>
        <v/>
      </c>
    </row>
    <row r="14">
      <c r="A14" s="16" t="inlineStr">
        <is>
          <t>User</t>
        </is>
      </c>
      <c r="B14" s="11" t="inlineStr">
        <is>
          <t>Jobseeker users</t>
        </is>
      </c>
      <c r="C14" s="12" t="inlineStr">
        <is>
          <t>admin-jobseekers</t>
        </is>
      </c>
      <c r="D14" s="13" t="n">
        <v>11</v>
      </c>
      <c r="E14" s="13">
        <f>COUNTIF('DANH MỤC MÀN HÌNH'!$M$57:$M$67,"OK")</f>
        <v/>
      </c>
      <c r="F14" s="13">
        <f>COUNTIF('DANH MỤC MÀN HÌNH'!$M$57:$M$67,"Cần sửa")</f>
        <v/>
      </c>
      <c r="G14" s="13">
        <f>COUNTIF('DANH MỤC MÀN HÌNH'!$M$57:$M$67,"Chưa xem")</f>
        <v/>
      </c>
      <c r="H14" s="13">
        <f>COUNTIF('DANH MỤC MÀN HÌNH'!$M$57:$M$67,"Không cần")</f>
        <v/>
      </c>
    </row>
    <row r="15">
      <c r="A15" s="16" t="inlineStr">
        <is>
          <t>User</t>
        </is>
      </c>
      <c r="B15" s="11" t="inlineStr">
        <is>
          <t>Company users</t>
        </is>
      </c>
      <c r="C15" s="12" t="inlineStr">
        <is>
          <t>admin-company-users</t>
        </is>
      </c>
      <c r="D15" s="13" t="n">
        <v>6</v>
      </c>
      <c r="E15" s="13">
        <f>COUNTIF('DANH MỤC MÀN HÌNH'!$M$68:$M$73,"OK")</f>
        <v/>
      </c>
      <c r="F15" s="13">
        <f>COUNTIF('DANH MỤC MÀN HÌNH'!$M$68:$M$73,"Cần sửa")</f>
        <v/>
      </c>
      <c r="G15" s="13">
        <f>COUNTIF('DANH MỤC MÀN HÌNH'!$M$68:$M$73,"Chưa xem")</f>
        <v/>
      </c>
      <c r="H15" s="13">
        <f>COUNTIF('DANH MỤC MÀN HÌNH'!$M$68:$M$73,"Không cần")</f>
        <v/>
      </c>
    </row>
    <row r="16">
      <c r="A16" s="17" t="inlineStr">
        <is>
          <t>CRM</t>
        </is>
      </c>
      <c r="B16" s="11" t="inlineStr">
        <is>
          <t>Companies</t>
        </is>
      </c>
      <c r="C16" s="12" t="inlineStr">
        <is>
          <t>admin-company-list</t>
        </is>
      </c>
      <c r="D16" s="13" t="n">
        <v>22</v>
      </c>
      <c r="E16" s="13">
        <f>COUNTIF('DANH MỤC MÀN HÌNH'!$M$74:$M$95,"OK")</f>
        <v/>
      </c>
      <c r="F16" s="13">
        <f>COUNTIF('DANH MỤC MÀN HÌNH'!$M$74:$M$95,"Cần sửa")</f>
        <v/>
      </c>
      <c r="G16" s="13">
        <f>COUNTIF('DANH MỤC MÀN HÌNH'!$M$74:$M$95,"Chưa xem")</f>
        <v/>
      </c>
      <c r="H16" s="13">
        <f>COUNTIF('DANH MỤC MÀN HÌNH'!$M$74:$M$95,"Không cần")</f>
        <v/>
      </c>
    </row>
    <row r="17">
      <c r="A17" s="17" t="inlineStr">
        <is>
          <t>CRM</t>
        </is>
      </c>
      <c r="B17" s="11" t="inlineStr">
        <is>
          <t>Pipeline</t>
        </is>
      </c>
      <c r="C17" s="12" t="inlineStr">
        <is>
          <t>admin-company-pipeline</t>
        </is>
      </c>
      <c r="D17" s="13" t="n">
        <v>13</v>
      </c>
      <c r="E17" s="13">
        <f>COUNTIF('DANH MỤC MÀN HÌNH'!$M$96:$M$108,"OK")</f>
        <v/>
      </c>
      <c r="F17" s="13">
        <f>COUNTIF('DANH MỤC MÀN HÌNH'!$M$96:$M$108,"Cần sửa")</f>
        <v/>
      </c>
      <c r="G17" s="13">
        <f>COUNTIF('DANH MỤC MÀN HÌNH'!$M$96:$M$108,"Chưa xem")</f>
        <v/>
      </c>
      <c r="H17" s="13">
        <f>COUNTIF('DANH MỤC MÀN HÌNH'!$M$96:$M$108,"Không cần")</f>
        <v/>
      </c>
    </row>
    <row r="18">
      <c r="A18" s="17" t="inlineStr">
        <is>
          <t>CRM</t>
        </is>
      </c>
      <c r="B18" s="11" t="inlineStr">
        <is>
          <t>Quotations</t>
        </is>
      </c>
      <c r="C18" s="12" t="inlineStr">
        <is>
          <t>admin-quotes</t>
        </is>
      </c>
      <c r="D18" s="13" t="n">
        <v>10</v>
      </c>
      <c r="E18" s="13">
        <f>COUNTIF('DANH MỤC MÀN HÌNH'!$M$109:$M$118,"OK")</f>
        <v/>
      </c>
      <c r="F18" s="13">
        <f>COUNTIF('DANH MỤC MÀN HÌNH'!$M$109:$M$118,"Cần sửa")</f>
        <v/>
      </c>
      <c r="G18" s="13">
        <f>COUNTIF('DANH MỤC MÀN HÌNH'!$M$109:$M$118,"Chưa xem")</f>
        <v/>
      </c>
      <c r="H18" s="13">
        <f>COUNTIF('DANH MỤC MÀN HÌNH'!$M$109:$M$118,"Không cần")</f>
        <v/>
      </c>
    </row>
    <row r="19">
      <c r="A19" s="17" t="inlineStr">
        <is>
          <t>CRM</t>
        </is>
      </c>
      <c r="B19" s="11" t="inlineStr">
        <is>
          <t>Purchase order</t>
        </is>
      </c>
      <c r="C19" s="12" t="inlineStr">
        <is>
          <t>admin-purchase-orders</t>
        </is>
      </c>
      <c r="D19" s="13" t="n">
        <v>8</v>
      </c>
      <c r="E19" s="13">
        <f>COUNTIF('DANH MỤC MÀN HÌNH'!$M$119:$M$126,"OK")</f>
        <v/>
      </c>
      <c r="F19" s="13">
        <f>COUNTIF('DANH MỤC MÀN HÌNH'!$M$119:$M$126,"Cần sửa")</f>
        <v/>
      </c>
      <c r="G19" s="13">
        <f>COUNTIF('DANH MỤC MÀN HÌNH'!$M$119:$M$126,"Chưa xem")</f>
        <v/>
      </c>
      <c r="H19" s="13">
        <f>COUNTIF('DANH MỤC MÀN HÌNH'!$M$119:$M$126,"Không cần")</f>
        <v/>
      </c>
    </row>
    <row r="20">
      <c r="A20" s="17" t="inlineStr">
        <is>
          <t>CRM</t>
        </is>
      </c>
      <c r="B20" s="11" t="inlineStr">
        <is>
          <t>Invoice</t>
        </is>
      </c>
      <c r="C20" s="12" t="inlineStr">
        <is>
          <t>admin-invoices</t>
        </is>
      </c>
      <c r="D20" s="13" t="n">
        <v>8</v>
      </c>
      <c r="E20" s="13">
        <f>COUNTIF('DANH MỤC MÀN HÌNH'!$M$127:$M$134,"OK")</f>
        <v/>
      </c>
      <c r="F20" s="13">
        <f>COUNTIF('DANH MỤC MÀN HÌNH'!$M$127:$M$134,"Cần sửa")</f>
        <v/>
      </c>
      <c r="G20" s="13">
        <f>COUNTIF('DANH MỤC MÀN HÌNH'!$M$127:$M$134,"Chưa xem")</f>
        <v/>
      </c>
      <c r="H20" s="13">
        <f>COUNTIF('DANH MỤC MÀN HÌNH'!$M$127:$M$134,"Không cần")</f>
        <v/>
      </c>
    </row>
    <row r="21">
      <c r="A21" s="17" t="inlineStr">
        <is>
          <t>CRM</t>
        </is>
      </c>
      <c r="B21" s="11" t="inlineStr">
        <is>
          <t>Sign-ups</t>
        </is>
      </c>
      <c r="C21" s="12" t="inlineStr">
        <is>
          <t>admin-signups</t>
        </is>
      </c>
      <c r="D21" s="13" t="n">
        <v>8</v>
      </c>
      <c r="E21" s="13">
        <f>COUNTIF('DANH MỤC MÀN HÌNH'!$M$135:$M$142,"OK")</f>
        <v/>
      </c>
      <c r="F21" s="13">
        <f>COUNTIF('DANH MỤC MÀN HÌNH'!$M$135:$M$142,"Cần sửa")</f>
        <v/>
      </c>
      <c r="G21" s="13">
        <f>COUNTIF('DANH MỤC MÀN HÌNH'!$M$135:$M$142,"Chưa xem")</f>
        <v/>
      </c>
      <c r="H21" s="13">
        <f>COUNTIF('DANH MỤC MÀN HÌNH'!$M$135:$M$142,"Không cần")</f>
        <v/>
      </c>
    </row>
    <row r="22">
      <c r="A22" s="17" t="inlineStr">
        <is>
          <t>CRM</t>
        </is>
      </c>
      <c r="B22" s="11" t="inlineStr">
        <is>
          <t>Account usage</t>
        </is>
      </c>
      <c r="C22" s="12" t="inlineStr">
        <is>
          <t>admin-account-usage</t>
        </is>
      </c>
      <c r="D22" s="13" t="n">
        <v>2</v>
      </c>
      <c r="E22" s="13">
        <f>COUNTIF('DANH MỤC MÀN HÌNH'!$M$143:$M$144,"OK")</f>
        <v/>
      </c>
      <c r="F22" s="13">
        <f>COUNTIF('DANH MỤC MÀN HÌNH'!$M$143:$M$144,"Cần sửa")</f>
        <v/>
      </c>
      <c r="G22" s="13">
        <f>COUNTIF('DANH MỤC MÀN HÌNH'!$M$143:$M$144,"Chưa xem")</f>
        <v/>
      </c>
      <c r="H22" s="13">
        <f>COUNTIF('DANH MỤC MÀN HÌNH'!$M$143:$M$144,"Không cần")</f>
        <v/>
      </c>
    </row>
    <row r="23">
      <c r="A23" s="18" t="inlineStr">
        <is>
          <t>Products</t>
        </is>
      </c>
      <c r="B23" s="11" t="inlineStr">
        <is>
          <t>Products</t>
        </is>
      </c>
      <c r="C23" s="12" t="inlineStr">
        <is>
          <t>admin-catalog</t>
        </is>
      </c>
      <c r="D23" s="13" t="n">
        <v>9</v>
      </c>
      <c r="E23" s="13">
        <f>COUNTIF('DANH MỤC MÀN HÌNH'!$M$145:$M$153,"OK")</f>
        <v/>
      </c>
      <c r="F23" s="13">
        <f>COUNTIF('DANH MỤC MÀN HÌNH'!$M$145:$M$153,"Cần sửa")</f>
        <v/>
      </c>
      <c r="G23" s="13">
        <f>COUNTIF('DANH MỤC MÀN HÌNH'!$M$145:$M$153,"Chưa xem")</f>
        <v/>
      </c>
      <c r="H23" s="13">
        <f>COUNTIF('DANH MỤC MÀN HÌNH'!$M$145:$M$153,"Không cần")</f>
        <v/>
      </c>
    </row>
    <row r="24">
      <c r="A24" s="18" t="inlineStr">
        <is>
          <t>Products</t>
        </is>
      </c>
      <c r="B24" s="11" t="inlineStr">
        <is>
          <t>Packages</t>
        </is>
      </c>
      <c r="C24" s="12" t="inlineStr">
        <is>
          <t>admin-bundles</t>
        </is>
      </c>
      <c r="D24" s="13" t="n">
        <v>5</v>
      </c>
      <c r="E24" s="13">
        <f>COUNTIF('DANH MỤC MÀN HÌNH'!$M$154:$M$158,"OK")</f>
        <v/>
      </c>
      <c r="F24" s="13">
        <f>COUNTIF('DANH MỤC MÀN HÌNH'!$M$154:$M$158,"Cần sửa")</f>
        <v/>
      </c>
      <c r="G24" s="13">
        <f>COUNTIF('DANH MỤC MÀN HÌNH'!$M$154:$M$158,"Chưa xem")</f>
        <v/>
      </c>
      <c r="H24" s="13">
        <f>COUNTIF('DANH MỤC MÀN HÌNH'!$M$154:$M$158,"Không cần")</f>
        <v/>
      </c>
    </row>
    <row r="25">
      <c r="A25" s="18" t="inlineStr">
        <is>
          <t>Products</t>
        </is>
      </c>
      <c r="B25" s="11" t="inlineStr">
        <is>
          <t>Placements</t>
        </is>
      </c>
      <c r="C25" s="12" t="inlineStr">
        <is>
          <t>admin-placements</t>
        </is>
      </c>
      <c r="D25" s="13" t="n">
        <v>2</v>
      </c>
      <c r="E25" s="13">
        <f>COUNTIF('DANH MỤC MÀN HÌNH'!$M$159:$M$160,"OK")</f>
        <v/>
      </c>
      <c r="F25" s="13">
        <f>COUNTIF('DANH MỤC MÀN HÌNH'!$M$159:$M$160,"Cần sửa")</f>
        <v/>
      </c>
      <c r="G25" s="13">
        <f>COUNTIF('DANH MỤC MÀN HÌNH'!$M$159:$M$160,"Chưa xem")</f>
        <v/>
      </c>
      <c r="H25" s="13">
        <f>COUNTIF('DANH MỤC MÀN HÌNH'!$M$159:$M$160,"Không cần")</f>
        <v/>
      </c>
    </row>
    <row r="26">
      <c r="A26" s="18" t="inlineStr">
        <is>
          <t>Products</t>
        </is>
      </c>
      <c r="B26" s="11" t="inlineStr">
        <is>
          <t>Discount programmes</t>
        </is>
      </c>
      <c r="C26" s="12" t="inlineStr">
        <is>
          <t>admin-promotions</t>
        </is>
      </c>
      <c r="D26" s="13" t="n">
        <v>4</v>
      </c>
      <c r="E26" s="13">
        <f>COUNTIF('DANH MỤC MÀN HÌNH'!$M$161:$M$164,"OK")</f>
        <v/>
      </c>
      <c r="F26" s="13">
        <f>COUNTIF('DANH MỤC MÀN HÌNH'!$M$161:$M$164,"Cần sửa")</f>
        <v/>
      </c>
      <c r="G26" s="13">
        <f>COUNTIF('DANH MỤC MÀN HÌNH'!$M$161:$M$164,"Chưa xem")</f>
        <v/>
      </c>
      <c r="H26" s="13">
        <f>COUNTIF('DANH MỤC MÀN HÌNH'!$M$161:$M$164,"Không cần")</f>
        <v/>
      </c>
    </row>
    <row r="27">
      <c r="A27" s="19" t="inlineStr">
        <is>
          <t>System</t>
        </is>
      </c>
      <c r="B27" s="11" t="inlineStr">
        <is>
          <t>Staff directory</t>
        </is>
      </c>
      <c r="C27" s="12" t="inlineStr">
        <is>
          <t>admin-staff</t>
        </is>
      </c>
      <c r="D27" s="13" t="n">
        <v>2</v>
      </c>
      <c r="E27" s="13">
        <f>COUNTIF('DANH MỤC MÀN HÌNH'!$M$165:$M$166,"OK")</f>
        <v/>
      </c>
      <c r="F27" s="13">
        <f>COUNTIF('DANH MỤC MÀN HÌNH'!$M$165:$M$166,"Cần sửa")</f>
        <v/>
      </c>
      <c r="G27" s="13">
        <f>COUNTIF('DANH MỤC MÀN HÌNH'!$M$165:$M$166,"Chưa xem")</f>
        <v/>
      </c>
      <c r="H27" s="13">
        <f>COUNTIF('DANH MỤC MÀN HÌNH'!$M$165:$M$166,"Không cần")</f>
        <v/>
      </c>
    </row>
    <row r="28">
      <c r="A28" s="19" t="inlineStr">
        <is>
          <t>System</t>
        </is>
      </c>
      <c r="B28" s="11" t="inlineStr">
        <is>
          <t>Users</t>
        </is>
      </c>
      <c r="C28" s="12" t="inlineStr">
        <is>
          <t>admin-users</t>
        </is>
      </c>
      <c r="D28" s="13" t="n">
        <v>5</v>
      </c>
      <c r="E28" s="13">
        <f>COUNTIF('DANH MỤC MÀN HÌNH'!$M$167:$M$171,"OK")</f>
        <v/>
      </c>
      <c r="F28" s="13">
        <f>COUNTIF('DANH MỤC MÀN HÌNH'!$M$167:$M$171,"Cần sửa")</f>
        <v/>
      </c>
      <c r="G28" s="13">
        <f>COUNTIF('DANH MỤC MÀN HÌNH'!$M$167:$M$171,"Chưa xem")</f>
        <v/>
      </c>
      <c r="H28" s="13">
        <f>COUNTIF('DANH MỤC MÀN HÌNH'!$M$167:$M$171,"Không cần")</f>
        <v/>
      </c>
    </row>
    <row r="29">
      <c r="A29" s="19" t="inlineStr">
        <is>
          <t>System</t>
        </is>
      </c>
      <c r="B29" s="11" t="inlineStr">
        <is>
          <t>Roles &amp; permissions</t>
        </is>
      </c>
      <c r="C29" s="12" t="inlineStr">
        <is>
          <t>admin-roles</t>
        </is>
      </c>
      <c r="D29" s="13" t="n">
        <v>2</v>
      </c>
      <c r="E29" s="13">
        <f>COUNTIF('DANH MỤC MÀN HÌNH'!$M$172:$M$173,"OK")</f>
        <v/>
      </c>
      <c r="F29" s="13">
        <f>COUNTIF('DANH MỤC MÀN HÌNH'!$M$172:$M$173,"Cần sửa")</f>
        <v/>
      </c>
      <c r="G29" s="13">
        <f>COUNTIF('DANH MỤC MÀN HÌNH'!$M$172:$M$173,"Chưa xem")</f>
        <v/>
      </c>
      <c r="H29" s="13">
        <f>COUNTIF('DANH MỤC MÀN HÌNH'!$M$172:$M$173,"Không cần")</f>
        <v/>
      </c>
    </row>
    <row r="30">
      <c r="A30" s="19" t="inlineStr">
        <is>
          <t>System</t>
        </is>
      </c>
      <c r="B30" s="11" t="inlineStr">
        <is>
          <t>Company information</t>
        </is>
      </c>
      <c r="C30" s="12" t="inlineStr">
        <is>
          <t>admin-issuer</t>
        </is>
      </c>
      <c r="D30" s="13" t="n">
        <v>5</v>
      </c>
      <c r="E30" s="13">
        <f>COUNTIF('DANH MỤC MÀN HÌNH'!$M$174:$M$178,"OK")</f>
        <v/>
      </c>
      <c r="F30" s="13">
        <f>COUNTIF('DANH MỤC MÀN HÌNH'!$M$174:$M$178,"Cần sửa")</f>
        <v/>
      </c>
      <c r="G30" s="13">
        <f>COUNTIF('DANH MỤC MÀN HÌNH'!$M$174:$M$178,"Chưa xem")</f>
        <v/>
      </c>
      <c r="H30" s="13">
        <f>COUNTIF('DANH MỤC MÀN HÌNH'!$M$174:$M$178,"Không cần")</f>
        <v/>
      </c>
    </row>
    <row r="31">
      <c r="A31" s="19" t="inlineStr">
        <is>
          <t>System</t>
        </is>
      </c>
      <c r="B31" s="11" t="inlineStr">
        <is>
          <t>Membership tiers</t>
        </is>
      </c>
      <c r="C31" s="12" t="inlineStr">
        <is>
          <t>admin-membership</t>
        </is>
      </c>
      <c r="D31" s="13" t="n">
        <v>2</v>
      </c>
      <c r="E31" s="13">
        <f>COUNTIF('DANH MỤC MÀN HÌNH'!$M$179:$M$180,"OK")</f>
        <v/>
      </c>
      <c r="F31" s="13">
        <f>COUNTIF('DANH MỤC MÀN HÌNH'!$M$179:$M$180,"Cần sửa")</f>
        <v/>
      </c>
      <c r="G31" s="13">
        <f>COUNTIF('DANH MỤC MÀN HÌNH'!$M$179:$M$180,"Chưa xem")</f>
        <v/>
      </c>
      <c r="H31" s="13">
        <f>COUNTIF('DANH MỤC MÀN HÌNH'!$M$179:$M$180,"Không cần")</f>
        <v/>
      </c>
    </row>
    <row r="32">
      <c r="A32" s="19" t="inlineStr">
        <is>
          <t>System</t>
        </is>
      </c>
      <c r="B32" s="11" t="inlineStr">
        <is>
          <t>Pages</t>
        </is>
      </c>
      <c r="C32" s="12" t="inlineStr">
        <is>
          <t>admin-pages</t>
        </is>
      </c>
      <c r="D32" s="13" t="n">
        <v>4</v>
      </c>
      <c r="E32" s="13">
        <f>COUNTIF('DANH MỤC MÀN HÌNH'!$M$181:$M$184,"OK")</f>
        <v/>
      </c>
      <c r="F32" s="13">
        <f>COUNTIF('DANH MỤC MÀN HÌNH'!$M$181:$M$184,"Cần sửa")</f>
        <v/>
      </c>
      <c r="G32" s="13">
        <f>COUNTIF('DANH MỤC MÀN HÌNH'!$M$181:$M$184,"Chưa xem")</f>
        <v/>
      </c>
      <c r="H32" s="13">
        <f>COUNTIF('DANH MỤC MÀN HÌNH'!$M$181:$M$184,"Không cần")</f>
        <v/>
      </c>
    </row>
    <row r="33">
      <c r="A33" s="19" t="inlineStr">
        <is>
          <t>System</t>
        </is>
      </c>
      <c r="B33" s="11" t="inlineStr">
        <is>
          <t>Master data</t>
        </is>
      </c>
      <c r="C33" s="12" t="inlineStr">
        <is>
          <t>admin-master-data</t>
        </is>
      </c>
      <c r="D33" s="13" t="n">
        <v>14</v>
      </c>
      <c r="E33" s="13">
        <f>COUNTIF('DANH MỤC MÀN HÌNH'!$M$185:$M$198,"OK")</f>
        <v/>
      </c>
      <c r="F33" s="13">
        <f>COUNTIF('DANH MỤC MÀN HÌNH'!$M$185:$M$198,"Cần sửa")</f>
        <v/>
      </c>
      <c r="G33" s="13">
        <f>COUNTIF('DANH MỤC MÀN HÌNH'!$M$185:$M$198,"Chưa xem")</f>
        <v/>
      </c>
      <c r="H33" s="13">
        <f>COUNTIF('DANH MỤC MÀN HÌNH'!$M$185:$M$198,"Không cần")</f>
        <v/>
      </c>
    </row>
    <row r="34">
      <c r="A34" s="19" t="inlineStr">
        <is>
          <t>System</t>
        </is>
      </c>
      <c r="B34" s="11" t="inlineStr">
        <is>
          <t>Audit log</t>
        </is>
      </c>
      <c r="C34" s="12" t="inlineStr">
        <is>
          <t>admin-audit-log</t>
        </is>
      </c>
      <c r="D34" s="13" t="n">
        <v>1</v>
      </c>
      <c r="E34" s="13">
        <f>COUNTIF('DANH MỤC MÀN HÌNH'!$M$199:$M$199,"OK")</f>
        <v/>
      </c>
      <c r="F34" s="13">
        <f>COUNTIF('DANH MỤC MÀN HÌNH'!$M$199:$M$199,"Cần sửa")</f>
        <v/>
      </c>
      <c r="G34" s="13">
        <f>COUNTIF('DANH MỤC MÀN HÌNH'!$M$199:$M$199,"Chưa xem")</f>
        <v/>
      </c>
      <c r="H34" s="13">
        <f>COUNTIF('DANH MỤC MÀN HÌNH'!$M$199:$M$199,"Không cần")</f>
        <v/>
      </c>
    </row>
    <row r="35">
      <c r="A35" s="19" t="inlineStr">
        <is>
          <t>System</t>
        </is>
      </c>
      <c r="B35" s="11" t="inlineStr">
        <is>
          <t>Environment</t>
        </is>
      </c>
      <c r="C35" s="12" t="inlineStr">
        <is>
          <t>admin-environment</t>
        </is>
      </c>
      <c r="D35" s="13" t="n">
        <v>1</v>
      </c>
      <c r="E35" s="13">
        <f>COUNTIF('DANH MỤC MÀN HÌNH'!$M$200:$M$200,"OK")</f>
        <v/>
      </c>
      <c r="F35" s="13">
        <f>COUNTIF('DANH MỤC MÀN HÌNH'!$M$200:$M$200,"Cần sửa")</f>
        <v/>
      </c>
      <c r="G35" s="13">
        <f>COUNTIF('DANH MỤC MÀN HÌNH'!$M$200:$M$200,"Chưa xem")</f>
        <v/>
      </c>
      <c r="H35" s="13">
        <f>COUNTIF('DANH MỤC MÀN HÌNH'!$M$200:$M$200,"Không cần")</f>
        <v/>
      </c>
    </row>
    <row r="36">
      <c r="A36" s="19" t="inlineStr">
        <is>
          <t>System</t>
        </is>
      </c>
      <c r="B36" s="11" t="inlineStr">
        <is>
          <t>Departments</t>
        </is>
      </c>
      <c r="C36" s="12" t="inlineStr">
        <is>
          <t>admin-departments</t>
        </is>
      </c>
      <c r="D36" s="13" t="n">
        <v>2</v>
      </c>
      <c r="E36" s="13">
        <f>COUNTIF('DANH MỤC MÀN HÌNH'!$M$201:$M$202,"OK")</f>
        <v/>
      </c>
      <c r="F36" s="13">
        <f>COUNTIF('DANH MỤC MÀN HÌNH'!$M$201:$M$202,"Cần sửa")</f>
        <v/>
      </c>
      <c r="G36" s="13">
        <f>COUNTIF('DANH MỤC MÀN HÌNH'!$M$201:$M$202,"Chưa xem")</f>
        <v/>
      </c>
      <c r="H36" s="13">
        <f>COUNTIF('DANH MỤC MÀN HÌNH'!$M$201:$M$202,"Không cần")</f>
        <v/>
      </c>
    </row>
    <row r="37">
      <c r="A37" s="20" t="inlineStr">
        <is>
          <t>TỔNG</t>
        </is>
      </c>
      <c r="B37" s="21" t="n"/>
      <c r="C37" s="21" t="n"/>
      <c r="D37" s="22">
        <f>SUM(D5:D36)</f>
        <v/>
      </c>
      <c r="E37" s="22">
        <f>SUM(E5:E36)</f>
        <v/>
      </c>
      <c r="F37" s="22">
        <f>SUM(F5:F36)</f>
        <v/>
      </c>
      <c r="G37" s="22">
        <f>SUM(G5:G36)</f>
        <v/>
      </c>
      <c r="H37" s="22">
        <f>SUM(H5:H36)</f>
        <v/>
      </c>
    </row>
    <row r="39">
      <c r="A39" s="23" t="inlineStr">
        <is>
          <t>Theo nhóm menu</t>
        </is>
      </c>
    </row>
    <row r="40">
      <c r="A40" s="24" t="inlineStr">
        <is>
          <t>Nhóm menu</t>
        </is>
      </c>
      <c r="B40" s="24" t="inlineStr">
        <is>
          <t>Số trang</t>
        </is>
      </c>
      <c r="C40" s="24" t="inlineStr">
        <is>
          <t>Số dòng</t>
        </is>
      </c>
    </row>
    <row r="41">
      <c r="A41" s="10" t="inlineStr">
        <is>
          <t>Analytics</t>
        </is>
      </c>
      <c r="B41" s="13" t="n">
        <v>4</v>
      </c>
      <c r="C41" s="13" t="n">
        <v>7</v>
      </c>
    </row>
    <row r="42">
      <c r="A42" s="14" t="inlineStr">
        <is>
          <t>Recruitment</t>
        </is>
      </c>
      <c r="B42" s="13" t="n">
        <v>3</v>
      </c>
      <c r="C42" s="13" t="n">
        <v>39</v>
      </c>
    </row>
    <row r="43">
      <c r="A43" s="15" t="inlineStr">
        <is>
          <t>Service</t>
        </is>
      </c>
      <c r="B43" s="13" t="n">
        <v>2</v>
      </c>
      <c r="C43" s="13" t="n">
        <v>7</v>
      </c>
    </row>
    <row r="44">
      <c r="A44" s="16" t="inlineStr">
        <is>
          <t>User</t>
        </is>
      </c>
      <c r="B44" s="13" t="n">
        <v>2</v>
      </c>
      <c r="C44" s="13" t="n">
        <v>17</v>
      </c>
    </row>
    <row r="45">
      <c r="A45" s="17" t="inlineStr">
        <is>
          <t>CRM</t>
        </is>
      </c>
      <c r="B45" s="13" t="n">
        <v>7</v>
      </c>
      <c r="C45" s="13" t="n">
        <v>71</v>
      </c>
    </row>
    <row r="46">
      <c r="A46" s="18" t="inlineStr">
        <is>
          <t>Products</t>
        </is>
      </c>
      <c r="B46" s="13" t="n">
        <v>4</v>
      </c>
      <c r="C46" s="13" t="n">
        <v>20</v>
      </c>
    </row>
    <row r="47">
      <c r="A47" s="19" t="inlineStr">
        <is>
          <t>System</t>
        </is>
      </c>
      <c r="B47" s="13" t="n">
        <v>10</v>
      </c>
      <c r="C47" s="13" t="n">
        <v>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2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20" customWidth="1" min="4" max="4"/>
    <col width="34" customWidth="1" min="5" max="5"/>
    <col width="14" customWidth="1" min="6" max="6"/>
    <col width="62" customWidth="1" min="7" max="7"/>
    <col width="22" customWidth="1" min="8" max="8"/>
    <col width="34" customWidth="1" min="9" max="9"/>
    <col width="30" customWidth="1" min="10" max="10"/>
    <col width="8" customWidth="1" min="11" max="11"/>
    <col width="14" customWidth="1" min="12" max="12"/>
    <col width="14" customWidth="1" min="13" max="13"/>
    <col width="30" customWidth="1" min="14" max="14"/>
  </cols>
  <sheetData>
    <row r="1">
      <c r="A1" s="7" t="inlineStr">
        <is>
          <t>HQ Admin — danh mục màn hình để xác nhận &amp; phân công</t>
        </is>
      </c>
    </row>
    <row r="2" ht="26" customHeight="1">
      <c r="A2" s="25" t="inlineStr">
        <is>
          <t>Mỗi dòng là một đơn vị nhỏ nhất (tab / section / form / hành động). Khách hàng điền cột “KH xác nhận” và “Ghi chú”; nội bộ điền cột “Người check”. Ba cột này được tô vàng.</t>
        </is>
      </c>
    </row>
    <row r="3" ht="34" customHeight="1">
      <c r="A3" s="9" t="inlineStr">
        <is>
          <t>STT</t>
        </is>
      </c>
      <c r="B3" s="9" t="inlineStr">
        <is>
          <t>ID</t>
        </is>
      </c>
      <c r="C3" s="9" t="inlineStr">
        <is>
          <t>Nhóm menu
Nav group</t>
        </is>
      </c>
      <c r="D3" s="9" t="inlineStr">
        <is>
          <t>Trang
Page</t>
        </is>
      </c>
      <c r="E3" s="9" t="inlineStr">
        <is>
          <t>Tab / Section
(đơn vị nhỏ nhất)</t>
        </is>
      </c>
      <c r="F3" s="9" t="inlineStr">
        <is>
          <t>Loại
Type</t>
        </is>
      </c>
      <c r="G3" s="9" t="inlineStr">
        <is>
          <t>Nội dung màn hình này là gì
What this screen is</t>
        </is>
      </c>
      <c r="H3" s="9" t="inlineStr">
        <is>
          <t>Mockup ID</t>
        </is>
      </c>
      <c r="I3" s="9" t="inlineStr">
        <is>
          <t>Link mockup</t>
        </is>
      </c>
      <c r="J3" s="9" t="inlineStr">
        <is>
          <t>Spec (module → feature)</t>
        </is>
      </c>
      <c r="K3" s="9" t="inlineStr">
        <is>
          <t>BA</t>
        </is>
      </c>
      <c r="L3" s="9" t="inlineStr">
        <is>
          <t>Người check
Assigned to</t>
        </is>
      </c>
      <c r="M3" s="9" t="inlineStr">
        <is>
          <t>KH xác nhận
Client confirm</t>
        </is>
      </c>
      <c r="N3" s="9" t="inlineStr">
        <is>
          <t>Ghi chú của KH / Comment</t>
        </is>
      </c>
    </row>
    <row r="4" ht="28" customHeight="1">
      <c r="A4" s="26" t="n">
        <v>1</v>
      </c>
      <c r="B4" s="5" t="inlineStr">
        <is>
          <t>AD-ANA-DAS-01</t>
        </is>
      </c>
      <c r="C4" s="27" t="inlineStr">
        <is>
          <t>Analytics</t>
        </is>
      </c>
      <c r="D4" s="27" t="inlineStr">
        <is>
          <t>Dashboard</t>
        </is>
      </c>
      <c r="E4" s="5" t="inlineStr">
        <is>
          <t>Thẻ chỉ số</t>
        </is>
      </c>
      <c r="F4" s="28" t="inlineStr">
        <is>
          <t>Khối / Section</t>
        </is>
      </c>
      <c r="G4" s="6" t="inlineStr">
        <is>
          <t>Revenue (MTD) · Active jobs · New applicants · Paying companies — kèm % so với tháng trước.</t>
        </is>
      </c>
      <c r="H4" s="6" t="inlineStr">
        <is>
          <t>admin-analytics-dashboard</t>
        </is>
      </c>
      <c r="I4" s="6" t="inlineStr">
        <is>
          <t>/wireframe/admin?screen=admin-analytics-dashboard</t>
        </is>
      </c>
      <c r="J4" s="6" t="inlineStr">
        <is>
          <t>—</t>
        </is>
      </c>
      <c r="K4" s="26" t="inlineStr">
        <is>
          <t>—</t>
        </is>
      </c>
      <c r="L4" s="29" t="inlineStr"/>
      <c r="M4" s="30" t="inlineStr"/>
      <c r="N4" s="29" t="inlineStr"/>
    </row>
    <row r="5" ht="28" customHeight="1">
      <c r="A5" s="26" t="n">
        <v>2</v>
      </c>
      <c r="B5" s="5" t="inlineStr">
        <is>
          <t>AD-ANA-DAS-02</t>
        </is>
      </c>
      <c r="C5" s="27" t="inlineStr">
        <is>
          <t>Analytics</t>
        </is>
      </c>
      <c r="D5" s="27" t="inlineStr">
        <is>
          <t>Dashboard</t>
        </is>
      </c>
      <c r="E5" s="5" t="inlineStr">
        <is>
          <t>Biểu đồ doanh thu 6 tháng</t>
        </is>
      </c>
      <c r="F5" s="28" t="inlineStr">
        <is>
          <t>Khối / Section</t>
        </is>
      </c>
      <c r="G5" s="6" t="inlineStr">
        <is>
          <t>Cột doanh thu theo tháng (tỷ ₫).</t>
        </is>
      </c>
      <c r="H5" s="6" t="inlineStr">
        <is>
          <t>admin-analytics-dashboard</t>
        </is>
      </c>
      <c r="I5" s="6" t="inlineStr">
        <is>
          <t>/wireframe/admin?screen=admin-analytics-dashboard</t>
        </is>
      </c>
      <c r="J5" s="6" t="inlineStr">
        <is>
          <t>—</t>
        </is>
      </c>
      <c r="K5" s="26" t="inlineStr">
        <is>
          <t>—</t>
        </is>
      </c>
      <c r="L5" s="29" t="inlineStr"/>
      <c r="M5" s="30" t="inlineStr"/>
      <c r="N5" s="29" t="inlineStr"/>
    </row>
    <row r="6" ht="28" customHeight="1">
      <c r="A6" s="31" t="n">
        <v>3</v>
      </c>
      <c r="B6" s="32" t="inlineStr">
        <is>
          <t>AD-ANA-SAL-01</t>
        </is>
      </c>
      <c r="C6" s="33" t="inlineStr">
        <is>
          <t>Analytics</t>
        </is>
      </c>
      <c r="D6" s="33" t="inlineStr">
        <is>
          <t>Sales report</t>
        </is>
      </c>
      <c r="E6" s="32" t="inlineStr">
        <is>
          <t>Thẻ chỉ số</t>
        </is>
      </c>
      <c r="F6" s="34" t="inlineStr">
        <is>
          <t>Khối / Section</t>
        </is>
      </c>
      <c r="G6" s="35" t="inlineStr">
        <is>
          <t>Bookings (MTD) · Avg deal size · Win rate · Open pipeline.</t>
        </is>
      </c>
      <c r="H6" s="35" t="inlineStr">
        <is>
          <t>admin-sales-report</t>
        </is>
      </c>
      <c r="I6" s="35" t="inlineStr">
        <is>
          <t>/wireframe/admin?screen=admin-sales-report</t>
        </is>
      </c>
      <c r="J6" s="35" t="inlineStr">
        <is>
          <t>—</t>
        </is>
      </c>
      <c r="K6" s="31" t="inlineStr">
        <is>
          <t>—</t>
        </is>
      </c>
      <c r="L6" s="36" t="inlineStr"/>
      <c r="M6" s="37" t="inlineStr"/>
      <c r="N6" s="36" t="inlineStr"/>
    </row>
    <row r="7" ht="28" customHeight="1">
      <c r="A7" s="26" t="n">
        <v>4</v>
      </c>
      <c r="B7" s="5" t="inlineStr">
        <is>
          <t>AD-ANA-SAL-02</t>
        </is>
      </c>
      <c r="C7" s="27" t="inlineStr">
        <is>
          <t>Analytics</t>
        </is>
      </c>
      <c r="D7" s="27" t="inlineStr">
        <is>
          <t>Sales report</t>
        </is>
      </c>
      <c r="E7" s="5" t="inlineStr">
        <is>
          <t>Bảng doanh thu theo sản phẩm</t>
        </is>
      </c>
      <c r="F7" s="38" t="inlineStr">
        <is>
          <t>Bảng danh sách</t>
        </is>
      </c>
      <c r="G7" s="6" t="inlineStr">
        <is>
          <t>Product · Units sold · Revenue · Share.</t>
        </is>
      </c>
      <c r="H7" s="6" t="inlineStr">
        <is>
          <t>admin-sales-report</t>
        </is>
      </c>
      <c r="I7" s="6" t="inlineStr">
        <is>
          <t>/wireframe/admin?screen=admin-sales-report</t>
        </is>
      </c>
      <c r="J7" s="6" t="inlineStr">
        <is>
          <t>—</t>
        </is>
      </c>
      <c r="K7" s="26" t="inlineStr">
        <is>
          <t>—</t>
        </is>
      </c>
      <c r="L7" s="29" t="inlineStr"/>
      <c r="M7" s="30" t="inlineStr"/>
      <c r="N7" s="29" t="inlineStr"/>
    </row>
    <row r="8" ht="28" customHeight="1">
      <c r="A8" s="31" t="n">
        <v>5</v>
      </c>
      <c r="B8" s="32" t="inlineStr">
        <is>
          <t>AD-ANA-REC-01</t>
        </is>
      </c>
      <c r="C8" s="33" t="inlineStr">
        <is>
          <t>Analytics</t>
        </is>
      </c>
      <c r="D8" s="33" t="inlineStr">
        <is>
          <t>Recruit report</t>
        </is>
      </c>
      <c r="E8" s="32" t="inlineStr">
        <is>
          <t>Phễu tuyển dụng 30 ngày</t>
        </is>
      </c>
      <c r="F8" s="34" t="inlineStr">
        <is>
          <t>Khối / Section</t>
        </is>
      </c>
      <c r="G8" s="35" t="inlineStr">
        <is>
          <t>Views → Applies → Screened → Interview → Hired, kèm apply rate / hire rate.</t>
        </is>
      </c>
      <c r="H8" s="35" t="inlineStr">
        <is>
          <t>admin-recruit-report</t>
        </is>
      </c>
      <c r="I8" s="35" t="inlineStr">
        <is>
          <t>/wireframe/admin?screen=admin-recruit-report</t>
        </is>
      </c>
      <c r="J8" s="35" t="inlineStr">
        <is>
          <t>—</t>
        </is>
      </c>
      <c r="K8" s="31" t="inlineStr">
        <is>
          <t>—</t>
        </is>
      </c>
      <c r="L8" s="36" t="inlineStr"/>
      <c r="M8" s="37" t="inlineStr"/>
      <c r="N8" s="36" t="inlineStr"/>
    </row>
    <row r="9" ht="28" customHeight="1">
      <c r="A9" s="31" t="n">
        <v>6</v>
      </c>
      <c r="B9" s="32" t="inlineStr">
        <is>
          <t>AD-ANA-REV-01</t>
        </is>
      </c>
      <c r="C9" s="33" t="inlineStr">
        <is>
          <t>Analytics</t>
        </is>
      </c>
      <c r="D9" s="33" t="inlineStr">
        <is>
          <t>Revenue report</t>
        </is>
      </c>
      <c r="E9" s="32" t="inlineStr">
        <is>
          <t>Thẻ chỉ số</t>
        </is>
      </c>
      <c r="F9" s="34" t="inlineStr">
        <is>
          <t>Khối / Section</t>
        </is>
      </c>
      <c r="G9" s="35" t="inlineStr">
        <is>
          <t>Revenue (YTD) · Recognized · Deferred · Refunds.</t>
        </is>
      </c>
      <c r="H9" s="35" t="inlineStr">
        <is>
          <t>admin-revenue-report</t>
        </is>
      </c>
      <c r="I9" s="35" t="inlineStr">
        <is>
          <t>/wireframe/admin?screen=admin-revenue-report</t>
        </is>
      </c>
      <c r="J9" s="35" t="inlineStr">
        <is>
          <t>—</t>
        </is>
      </c>
      <c r="K9" s="31" t="inlineStr">
        <is>
          <t>—</t>
        </is>
      </c>
      <c r="L9" s="36" t="inlineStr"/>
      <c r="M9" s="37" t="inlineStr"/>
      <c r="N9" s="36" t="inlineStr"/>
    </row>
    <row r="10" ht="28" customHeight="1">
      <c r="A10" s="26" t="n">
        <v>7</v>
      </c>
      <c r="B10" s="5" t="inlineStr">
        <is>
          <t>AD-ANA-REV-02</t>
        </is>
      </c>
      <c r="C10" s="27" t="inlineStr">
        <is>
          <t>Analytics</t>
        </is>
      </c>
      <c r="D10" s="27" t="inlineStr">
        <is>
          <t>Revenue report</t>
        </is>
      </c>
      <c r="E10" s="5" t="inlineStr">
        <is>
          <t>Bảng doanh thu theo tháng</t>
        </is>
      </c>
      <c r="F10" s="38" t="inlineStr">
        <is>
          <t>Bảng danh sách</t>
        </is>
      </c>
      <c r="G10" s="6" t="inlineStr">
        <is>
          <t>Month · Bookings · Recognized · Refunds.</t>
        </is>
      </c>
      <c r="H10" s="6" t="inlineStr">
        <is>
          <t>admin-revenue-report</t>
        </is>
      </c>
      <c r="I10" s="6" t="inlineStr">
        <is>
          <t>/wireframe/admin?screen=admin-revenue-report</t>
        </is>
      </c>
      <c r="J10" s="6" t="inlineStr">
        <is>
          <t>—</t>
        </is>
      </c>
      <c r="K10" s="26" t="inlineStr">
        <is>
          <t>—</t>
        </is>
      </c>
      <c r="L10" s="29" t="inlineStr"/>
      <c r="M10" s="30" t="inlineStr"/>
      <c r="N10" s="29" t="inlineStr"/>
    </row>
    <row r="11" ht="28" customHeight="1">
      <c r="A11" s="31" t="n">
        <v>8</v>
      </c>
      <c r="B11" s="32" t="inlineStr">
        <is>
          <t>AD-REC-JOB-01</t>
        </is>
      </c>
      <c r="C11" s="39" t="inlineStr">
        <is>
          <t>Recruitment</t>
        </is>
      </c>
      <c r="D11" s="39" t="inlineStr">
        <is>
          <t>Jobs</t>
        </is>
      </c>
      <c r="E11" s="32" t="inlineStr">
        <is>
          <t>All</t>
        </is>
      </c>
      <c r="F11" s="40" t="inlineStr">
        <is>
          <t>Tab trạng thái</t>
        </is>
      </c>
      <c r="G11" s="35" t="inlineStr">
        <is>
          <t>Toàn bộ tin đăng của mọi công ty, kèm số đếm trên tab.</t>
        </is>
      </c>
      <c r="H11" s="35" t="inlineStr">
        <is>
          <t>admin-job-list</t>
        </is>
      </c>
      <c r="I11" s="35" t="inlineStr">
        <is>
          <t>/wireframe/admin?screen=admin-job-list</t>
        </is>
      </c>
      <c r="J11" s="35" t="inlineStr">
        <is>
          <t>Job management → Job list (Admin)</t>
        </is>
      </c>
      <c r="K11" s="31" t="inlineStr">
        <is>
          <t>Luan</t>
        </is>
      </c>
      <c r="L11" s="36" t="inlineStr"/>
      <c r="M11" s="37" t="inlineStr"/>
      <c r="N11" s="36" t="inlineStr"/>
    </row>
    <row r="12" ht="28" customHeight="1">
      <c r="A12" s="26" t="n">
        <v>9</v>
      </c>
      <c r="B12" s="5" t="inlineStr">
        <is>
          <t>AD-REC-JOB-02</t>
        </is>
      </c>
      <c r="C12" s="41" t="inlineStr">
        <is>
          <t>Recruitment</t>
        </is>
      </c>
      <c r="D12" s="41" t="inlineStr">
        <is>
          <t>Jobs</t>
        </is>
      </c>
      <c r="E12" s="5" t="inlineStr">
        <is>
          <t>Draft</t>
        </is>
      </c>
      <c r="F12" s="42" t="inlineStr">
        <is>
          <t>Tab trạng thái</t>
        </is>
      </c>
      <c r="G12" s="6" t="inlineStr">
        <is>
          <t>Tin đã lưu nhưng chưa đăng. Không hiện trên site jobseeker.</t>
        </is>
      </c>
      <c r="H12" s="6" t="inlineStr">
        <is>
          <t>admin-job-list</t>
        </is>
      </c>
      <c r="I12" s="6" t="inlineStr">
        <is>
          <t>/wireframe/admin?screen=admin-job-list</t>
        </is>
      </c>
      <c r="J12" s="6" t="inlineStr">
        <is>
          <t>Job management → Job list (Admin)</t>
        </is>
      </c>
      <c r="K12" s="26" t="inlineStr">
        <is>
          <t>Luan</t>
        </is>
      </c>
      <c r="L12" s="29" t="inlineStr"/>
      <c r="M12" s="30" t="inlineStr"/>
      <c r="N12" s="29" t="inlineStr"/>
    </row>
    <row r="13" ht="28" customHeight="1">
      <c r="A13" s="26" t="n">
        <v>10</v>
      </c>
      <c r="B13" s="5" t="inlineStr">
        <is>
          <t>AD-REC-JOB-03</t>
        </is>
      </c>
      <c r="C13" s="41" t="inlineStr">
        <is>
          <t>Recruitment</t>
        </is>
      </c>
      <c r="D13" s="41" t="inlineStr">
        <is>
          <t>Jobs</t>
        </is>
      </c>
      <c r="E13" s="5" t="inlineStr">
        <is>
          <t>Schedule</t>
        </is>
      </c>
      <c r="F13" s="42" t="inlineStr">
        <is>
          <t>Tab trạng thái</t>
        </is>
      </c>
      <c r="G13" s="6" t="inlineStr">
        <is>
          <t>Tin hẹn giờ đăng — tự động chuyển sang Open đúng giờ.</t>
        </is>
      </c>
      <c r="H13" s="6" t="inlineStr">
        <is>
          <t>admin-job-list</t>
        </is>
      </c>
      <c r="I13" s="6" t="inlineStr">
        <is>
          <t>/wireframe/admin?screen=admin-job-list</t>
        </is>
      </c>
      <c r="J13" s="6" t="inlineStr">
        <is>
          <t>Job management → Job list (Admin)</t>
        </is>
      </c>
      <c r="K13" s="26" t="inlineStr">
        <is>
          <t>Luan</t>
        </is>
      </c>
      <c r="L13" s="29" t="inlineStr"/>
      <c r="M13" s="30" t="inlineStr"/>
      <c r="N13" s="29" t="inlineStr"/>
    </row>
    <row r="14" ht="28" customHeight="1">
      <c r="A14" s="26" t="n">
        <v>11</v>
      </c>
      <c r="B14" s="5" t="inlineStr">
        <is>
          <t>AD-REC-JOB-04</t>
        </is>
      </c>
      <c r="C14" s="41" t="inlineStr">
        <is>
          <t>Recruitment</t>
        </is>
      </c>
      <c r="D14" s="41" t="inlineStr">
        <is>
          <t>Jobs</t>
        </is>
      </c>
      <c r="E14" s="5" t="inlineStr">
        <is>
          <t>Open</t>
        </is>
      </c>
      <c r="F14" s="42" t="inlineStr">
        <is>
          <t>Tab trạng thái</t>
        </is>
      </c>
      <c r="G14" s="6" t="inlineStr">
        <is>
          <t>Tin đang chạy. Chỉ Open + Exposure On mới hiển thị cho jobseeker.</t>
        </is>
      </c>
      <c r="H14" s="6" t="inlineStr">
        <is>
          <t>admin-job-list</t>
        </is>
      </c>
      <c r="I14" s="6" t="inlineStr">
        <is>
          <t>/wireframe/admin?screen=admin-job-list</t>
        </is>
      </c>
      <c r="J14" s="6" t="inlineStr">
        <is>
          <t>Job management → Job list (Admin)</t>
        </is>
      </c>
      <c r="K14" s="26" t="inlineStr">
        <is>
          <t>Luan</t>
        </is>
      </c>
      <c r="L14" s="29" t="inlineStr"/>
      <c r="M14" s="30" t="inlineStr"/>
      <c r="N14" s="29" t="inlineStr"/>
    </row>
    <row r="15" ht="28" customHeight="1">
      <c r="A15" s="26" t="n">
        <v>12</v>
      </c>
      <c r="B15" s="5" t="inlineStr">
        <is>
          <t>AD-REC-JOB-05</t>
        </is>
      </c>
      <c r="C15" s="41" t="inlineStr">
        <is>
          <t>Recruitment</t>
        </is>
      </c>
      <c r="D15" s="41" t="inlineStr">
        <is>
          <t>Jobs</t>
        </is>
      </c>
      <c r="E15" s="5" t="inlineStr">
        <is>
          <t>Closed</t>
        </is>
      </c>
      <c r="F15" s="42" t="inlineStr">
        <is>
          <t>Tab trạng thái</t>
        </is>
      </c>
      <c r="G15" s="6" t="inlineStr">
        <is>
          <t>Tin đã hết hạn hoặc đóng thủ công. Không ứng tuyển được.</t>
        </is>
      </c>
      <c r="H15" s="6" t="inlineStr">
        <is>
          <t>admin-job-list</t>
        </is>
      </c>
      <c r="I15" s="6" t="inlineStr">
        <is>
          <t>/wireframe/admin?screen=admin-job-list</t>
        </is>
      </c>
      <c r="J15" s="6" t="inlineStr">
        <is>
          <t>Job management → Job list (Admin)</t>
        </is>
      </c>
      <c r="K15" s="26" t="inlineStr">
        <is>
          <t>Luan</t>
        </is>
      </c>
      <c r="L15" s="29" t="inlineStr"/>
      <c r="M15" s="30" t="inlineStr"/>
      <c r="N15" s="29" t="inlineStr"/>
    </row>
    <row r="16" ht="28" customHeight="1">
      <c r="A16" s="26" t="n">
        <v>13</v>
      </c>
      <c r="B16" s="5" t="inlineStr">
        <is>
          <t>AD-REC-JOB-06</t>
        </is>
      </c>
      <c r="C16" s="41" t="inlineStr">
        <is>
          <t>Recruitment</t>
        </is>
      </c>
      <c r="D16" s="41" t="inlineStr">
        <is>
          <t>Jobs</t>
        </is>
      </c>
      <c r="E16" s="5" t="inlineStr">
        <is>
          <t>Bộ lọc</t>
        </is>
      </c>
      <c r="F16" s="43" t="inlineStr">
        <is>
          <t>Bộ lọc</t>
        </is>
      </c>
      <c r="G16" s="6" t="inlineStr">
        <is>
          <t>Keyword · company · category · created by · status · exposure · date range.</t>
        </is>
      </c>
      <c r="H16" s="6" t="inlineStr">
        <is>
          <t>admin-job-list</t>
        </is>
      </c>
      <c r="I16" s="6" t="inlineStr">
        <is>
          <t>/wireframe/admin?screen=admin-job-list</t>
        </is>
      </c>
      <c r="J16" s="6" t="inlineStr">
        <is>
          <t>Job management → Job list (Admin)</t>
        </is>
      </c>
      <c r="K16" s="26" t="inlineStr">
        <is>
          <t>Luan</t>
        </is>
      </c>
      <c r="L16" s="29" t="inlineStr"/>
      <c r="M16" s="30" t="inlineStr"/>
      <c r="N16" s="29" t="inlineStr"/>
    </row>
    <row r="17" ht="40.5" customHeight="1">
      <c r="A17" s="26" t="n">
        <v>14</v>
      </c>
      <c r="B17" s="5" t="inlineStr">
        <is>
          <t>AD-REC-JOB-07</t>
        </is>
      </c>
      <c r="C17" s="41" t="inlineStr">
        <is>
          <t>Recruitment</t>
        </is>
      </c>
      <c r="D17" s="41" t="inlineStr">
        <is>
          <t>Jobs</t>
        </is>
      </c>
      <c r="E17" s="5" t="inlineStr">
        <is>
          <t>Bảng danh sách</t>
        </is>
      </c>
      <c r="F17" s="38" t="inlineStr">
        <is>
          <t>Bảng danh sách</t>
        </is>
      </c>
      <c r="G17" s="6" t="inlineStr">
        <is>
          <t>13 cột: job title · job ID · category · company · product · created by · status · exposure · posted · expires · views · saves · applied.</t>
        </is>
      </c>
      <c r="H17" s="6" t="inlineStr">
        <is>
          <t>admin-job-list</t>
        </is>
      </c>
      <c r="I17" s="6" t="inlineStr">
        <is>
          <t>/wireframe/admin?screen=admin-job-list</t>
        </is>
      </c>
      <c r="J17" s="6" t="inlineStr">
        <is>
          <t>Job management → Job list (Admin)</t>
        </is>
      </c>
      <c r="K17" s="26" t="inlineStr">
        <is>
          <t>Luan</t>
        </is>
      </c>
      <c r="L17" s="29" t="inlineStr"/>
      <c r="M17" s="30" t="inlineStr"/>
      <c r="N17" s="29" t="inlineStr"/>
    </row>
    <row r="18" ht="28" customHeight="1">
      <c r="A18" s="26" t="n">
        <v>15</v>
      </c>
      <c r="B18" s="5" t="inlineStr">
        <is>
          <t>AD-REC-JOB-08</t>
        </is>
      </c>
      <c r="C18" s="41" t="inlineStr">
        <is>
          <t>Recruitment</t>
        </is>
      </c>
      <c r="D18" s="41" t="inlineStr">
        <is>
          <t>Jobs</t>
        </is>
      </c>
      <c r="E18" s="5" t="inlineStr">
        <is>
          <t>Job detail — thông tin tin đăng</t>
        </is>
      </c>
      <c r="F18" s="44" t="inlineStr">
        <is>
          <t>Trang chi tiết</t>
        </is>
      </c>
      <c r="G18" s="6" t="inlineStr">
        <is>
          <t>Toàn bộ nội dung tin, sửa được (HQ không giới hạn thời gian sửa tiêu đề).</t>
        </is>
      </c>
      <c r="H18" s="6" t="inlineStr">
        <is>
          <t>admin-job-list</t>
        </is>
      </c>
      <c r="I18" s="6" t="inlineStr">
        <is>
          <t>/wireframe/admin?screen=admin-job-list</t>
        </is>
      </c>
      <c r="J18" s="6" t="inlineStr">
        <is>
          <t>Job management → Job list (Admin)</t>
        </is>
      </c>
      <c r="K18" s="26" t="inlineStr">
        <is>
          <t>Luan</t>
        </is>
      </c>
      <c r="L18" s="29" t="inlineStr"/>
      <c r="M18" s="30" t="inlineStr"/>
      <c r="N18" s="29" t="inlineStr"/>
    </row>
    <row r="19" ht="28" customHeight="1">
      <c r="A19" s="26" t="n">
        <v>16</v>
      </c>
      <c r="B19" s="5" t="inlineStr">
        <is>
          <t>AD-REC-JOB-09</t>
        </is>
      </c>
      <c r="C19" s="41" t="inlineStr">
        <is>
          <t>Recruitment</t>
        </is>
      </c>
      <c r="D19" s="41" t="inlineStr">
        <is>
          <t>Jobs</t>
        </is>
      </c>
      <c r="E19" s="5" t="inlineStr">
        <is>
          <t>Job detail — panel “Saved by”</t>
        </is>
      </c>
      <c r="F19" s="28" t="inlineStr">
        <is>
          <t>Khối / Section</t>
        </is>
      </c>
      <c r="G19" s="6" t="inlineStr">
        <is>
          <t>Ai đã lưu tin: tên · chức danh · địa điểm · thời điểm · đã ứng tuyển chưa. Là dữ liệu ứng viên → có phân quyền + ghi audit.</t>
        </is>
      </c>
      <c r="H19" s="6" t="inlineStr">
        <is>
          <t>admin-job-list</t>
        </is>
      </c>
      <c r="I19" s="6" t="inlineStr">
        <is>
          <t>/wireframe/admin?screen=admin-job-list</t>
        </is>
      </c>
      <c r="J19" s="6" t="inlineStr">
        <is>
          <t>Job management → Job list (Admin)</t>
        </is>
      </c>
      <c r="K19" s="26" t="inlineStr">
        <is>
          <t>Luan</t>
        </is>
      </c>
      <c r="L19" s="29" t="inlineStr"/>
      <c r="M19" s="30" t="inlineStr"/>
      <c r="N19" s="29" t="inlineStr"/>
    </row>
    <row r="20" ht="28" customHeight="1">
      <c r="A20" s="26" t="n">
        <v>17</v>
      </c>
      <c r="B20" s="5" t="inlineStr">
        <is>
          <t>AD-REC-JOB-10</t>
        </is>
      </c>
      <c r="C20" s="41" t="inlineStr">
        <is>
          <t>Recruitment</t>
        </is>
      </c>
      <c r="D20" s="41" t="inlineStr">
        <is>
          <t>Jobs</t>
        </is>
      </c>
      <c r="E20" s="5" t="inlineStr">
        <is>
          <t>Job detail — Preview / View post</t>
        </is>
      </c>
      <c r="F20" s="45" t="inlineStr">
        <is>
          <t>Hành động</t>
        </is>
      </c>
      <c r="G20" s="6" t="inlineStr">
        <is>
          <t>Xem tin như jobseeker: bản nháp khi Draft/Schedule, tin live khi Open.</t>
        </is>
      </c>
      <c r="H20" s="6" t="inlineStr">
        <is>
          <t>admin-job-list</t>
        </is>
      </c>
      <c r="I20" s="6" t="inlineStr">
        <is>
          <t>/wireframe/admin?screen=admin-job-list</t>
        </is>
      </c>
      <c r="J20" s="6" t="inlineStr">
        <is>
          <t>Job management → Job list (Admin)</t>
        </is>
      </c>
      <c r="K20" s="26" t="inlineStr">
        <is>
          <t>Luan</t>
        </is>
      </c>
      <c r="L20" s="29" t="inlineStr"/>
      <c r="M20" s="30" t="inlineStr"/>
      <c r="N20" s="29" t="inlineStr"/>
    </row>
    <row r="21" ht="28" customHeight="1">
      <c r="A21" s="26" t="n">
        <v>18</v>
      </c>
      <c r="B21" s="5" t="inlineStr">
        <is>
          <t>AD-REC-JOB-11</t>
        </is>
      </c>
      <c r="C21" s="41" t="inlineStr">
        <is>
          <t>Recruitment</t>
        </is>
      </c>
      <c r="D21" s="41" t="inlineStr">
        <is>
          <t>Jobs</t>
        </is>
      </c>
      <c r="E21" s="5" t="inlineStr">
        <is>
          <t>Job detail — Duplicate</t>
        </is>
      </c>
      <c r="F21" s="45" t="inlineStr">
        <is>
          <t>Hành động</t>
        </is>
      </c>
      <c r="G21" s="6" t="inlineStr">
        <is>
          <t>Nhân bản tin thành một Draft mới.</t>
        </is>
      </c>
      <c r="H21" s="6" t="inlineStr">
        <is>
          <t>admin-job-list</t>
        </is>
      </c>
      <c r="I21" s="6" t="inlineStr">
        <is>
          <t>/wireframe/admin?screen=admin-job-list</t>
        </is>
      </c>
      <c r="J21" s="6" t="inlineStr">
        <is>
          <t>Job management → Job list (Admin)</t>
        </is>
      </c>
      <c r="K21" s="26" t="inlineStr">
        <is>
          <t>Luan</t>
        </is>
      </c>
      <c r="L21" s="29" t="inlineStr"/>
      <c r="M21" s="30" t="inlineStr"/>
      <c r="N21" s="29" t="inlineStr"/>
    </row>
    <row r="22" ht="28" customHeight="1">
      <c r="A22" s="26" t="n">
        <v>19</v>
      </c>
      <c r="B22" s="5" t="inlineStr">
        <is>
          <t>AD-REC-JOB-12</t>
        </is>
      </c>
      <c r="C22" s="41" t="inlineStr">
        <is>
          <t>Recruitment</t>
        </is>
      </c>
      <c r="D22" s="41" t="inlineStr">
        <is>
          <t>Jobs</t>
        </is>
      </c>
      <c r="E22" s="5" t="inlineStr">
        <is>
          <t>Job detail — Close · Toggle exposure</t>
        </is>
      </c>
      <c r="F22" s="45" t="inlineStr">
        <is>
          <t>Hành động</t>
        </is>
      </c>
      <c r="G22" s="6" t="inlineStr">
        <is>
          <t>Đóng tin thủ công, hoặc bật/tắt hiển thị mà không đổi status.</t>
        </is>
      </c>
      <c r="H22" s="6" t="inlineStr">
        <is>
          <t>admin-job-list</t>
        </is>
      </c>
      <c r="I22" s="6" t="inlineStr">
        <is>
          <t>/wireframe/admin?screen=admin-job-list</t>
        </is>
      </c>
      <c r="J22" s="6" t="inlineStr">
        <is>
          <t>Job management → Job list (Admin)</t>
        </is>
      </c>
      <c r="K22" s="26" t="inlineStr">
        <is>
          <t>Luan</t>
        </is>
      </c>
      <c r="L22" s="29" t="inlineStr"/>
      <c r="M22" s="30" t="inlineStr"/>
      <c r="N22" s="29" t="inlineStr"/>
    </row>
    <row r="23" ht="28" customHeight="1">
      <c r="A23" s="26" t="n">
        <v>20</v>
      </c>
      <c r="B23" s="5" t="inlineStr">
        <is>
          <t>AD-REC-JOB-13</t>
        </is>
      </c>
      <c r="C23" s="41" t="inlineStr">
        <is>
          <t>Recruitment</t>
        </is>
      </c>
      <c r="D23" s="41" t="inlineStr">
        <is>
          <t>Jobs</t>
        </is>
      </c>
      <c r="E23" s="5" t="inlineStr">
        <is>
          <t>New job — 1 · Basics</t>
        </is>
      </c>
      <c r="F23" s="46" t="inlineStr">
        <is>
          <t>Bước trong form</t>
        </is>
      </c>
      <c r="G23" s="6" t="inlineStr">
        <is>
          <t>Company · title (VI/EN) · exposure · PO · product · category · industry · job level · work type · contract type.</t>
        </is>
      </c>
      <c r="H23" s="6" t="inlineStr">
        <is>
          <t>admin-job-list</t>
        </is>
      </c>
      <c r="I23" s="6" t="inlineStr">
        <is>
          <t>/wireframe/admin?screen=admin-job-list</t>
        </is>
      </c>
      <c r="J23" s="6" t="inlineStr">
        <is>
          <t>Job management → Job list (Admin)</t>
        </is>
      </c>
      <c r="K23" s="26" t="inlineStr">
        <is>
          <t>Luan</t>
        </is>
      </c>
      <c r="L23" s="29" t="inlineStr"/>
      <c r="M23" s="30" t="inlineStr"/>
      <c r="N23" s="29" t="inlineStr"/>
    </row>
    <row r="24" ht="28" customHeight="1">
      <c r="A24" s="26" t="n">
        <v>21</v>
      </c>
      <c r="B24" s="5" t="inlineStr">
        <is>
          <t>AD-REC-JOB-14</t>
        </is>
      </c>
      <c r="C24" s="41" t="inlineStr">
        <is>
          <t>Recruitment</t>
        </is>
      </c>
      <c r="D24" s="41" t="inlineStr">
        <is>
          <t>Jobs</t>
        </is>
      </c>
      <c r="E24" s="5" t="inlineStr">
        <is>
          <t>New job — 2 · Location, experience &amp; salary</t>
        </is>
      </c>
      <c r="F24" s="46" t="inlineStr">
        <is>
          <t>Bước trong form</t>
        </is>
      </c>
      <c r="G24" s="6" t="inlineStr">
        <is>
          <t>Chọn tối đa 3 văn phòng từ sổ địa điểm công ty · khoảng kinh nghiệm · lương (Thỏa thuận hoặc from–to).</t>
        </is>
      </c>
      <c r="H24" s="6" t="inlineStr">
        <is>
          <t>admin-job-list</t>
        </is>
      </c>
      <c r="I24" s="6" t="inlineStr">
        <is>
          <t>/wireframe/admin?screen=admin-job-list</t>
        </is>
      </c>
      <c r="J24" s="6" t="inlineStr">
        <is>
          <t>Job management → Job list (Admin)</t>
        </is>
      </c>
      <c r="K24" s="26" t="inlineStr">
        <is>
          <t>Luan</t>
        </is>
      </c>
      <c r="L24" s="29" t="inlineStr"/>
      <c r="M24" s="30" t="inlineStr"/>
      <c r="N24" s="29" t="inlineStr"/>
    </row>
    <row r="25" ht="28" customHeight="1">
      <c r="A25" s="26" t="n">
        <v>22</v>
      </c>
      <c r="B25" s="5" t="inlineStr">
        <is>
          <t>AD-REC-JOB-15</t>
        </is>
      </c>
      <c r="C25" s="41" t="inlineStr">
        <is>
          <t>Recruitment</t>
        </is>
      </c>
      <c r="D25" s="41" t="inlineStr">
        <is>
          <t>Jobs</t>
        </is>
      </c>
      <c r="E25" s="5" t="inlineStr">
        <is>
          <t>New job — 3 · Content (song ngữ)</t>
        </is>
      </c>
      <c r="F25" s="46" t="inlineStr">
        <is>
          <t>Bước trong form</t>
        </is>
      </c>
      <c r="G25" s="6" t="inlineStr">
        <is>
          <t>Role &amp; responsibility · Skills &amp; qualifications — tab VI/EN trên từng trường, VI bắt buộc.</t>
        </is>
      </c>
      <c r="H25" s="6" t="inlineStr">
        <is>
          <t>admin-job-list</t>
        </is>
      </c>
      <c r="I25" s="6" t="inlineStr">
        <is>
          <t>/wireframe/admin?screen=admin-job-list</t>
        </is>
      </c>
      <c r="J25" s="6" t="inlineStr">
        <is>
          <t>Job management → Job list (Admin)</t>
        </is>
      </c>
      <c r="K25" s="26" t="inlineStr">
        <is>
          <t>Luan</t>
        </is>
      </c>
      <c r="L25" s="29" t="inlineStr"/>
      <c r="M25" s="30" t="inlineStr"/>
      <c r="N25" s="29" t="inlineStr"/>
    </row>
    <row r="26" ht="28" customHeight="1">
      <c r="A26" s="26" t="n">
        <v>23</v>
      </c>
      <c r="B26" s="5" t="inlineStr">
        <is>
          <t>AD-REC-JOB-16</t>
        </is>
      </c>
      <c r="C26" s="41" t="inlineStr">
        <is>
          <t>Recruitment</t>
        </is>
      </c>
      <c r="D26" s="41" t="inlineStr">
        <is>
          <t>Jobs</t>
        </is>
      </c>
      <c r="E26" s="5" t="inlineStr">
        <is>
          <t>New job — Benefits picker</t>
        </is>
      </c>
      <c r="F26" s="28" t="inlineStr">
        <is>
          <t>Khối / Section</t>
        </is>
      </c>
      <c r="G26" s="6" t="inlineStr">
        <is>
          <t>12 loại phúc lợi cố định, tối đa 6, mô tả gợi ý điền sẵn; phúc lợi chung của công ty hiển thị read-only.</t>
        </is>
      </c>
      <c r="H26" s="6" t="inlineStr">
        <is>
          <t>admin-job-list</t>
        </is>
      </c>
      <c r="I26" s="6" t="inlineStr">
        <is>
          <t>/wireframe/admin?screen=admin-job-list</t>
        </is>
      </c>
      <c r="J26" s="6" t="inlineStr">
        <is>
          <t>Job management → Job list (Admin)</t>
        </is>
      </c>
      <c r="K26" s="26" t="inlineStr">
        <is>
          <t>Luan</t>
        </is>
      </c>
      <c r="L26" s="29" t="inlineStr"/>
      <c r="M26" s="30" t="inlineStr"/>
      <c r="N26" s="29" t="inlineStr"/>
    </row>
    <row r="27" ht="28" customHeight="1">
      <c r="A27" s="26" t="n">
        <v>24</v>
      </c>
      <c r="B27" s="5" t="inlineStr">
        <is>
          <t>AD-REC-JOB-17</t>
        </is>
      </c>
      <c r="C27" s="41" t="inlineStr">
        <is>
          <t>Recruitment</t>
        </is>
      </c>
      <c r="D27" s="41" t="inlineStr">
        <is>
          <t>Jobs</t>
        </is>
      </c>
      <c r="E27" s="5" t="inlineStr">
        <is>
          <t>New job — Skills</t>
        </is>
      </c>
      <c r="F27" s="28" t="inlineStr">
        <is>
          <t>Khối / Section</t>
        </is>
      </c>
      <c r="G27" s="6" t="inlineStr">
        <is>
          <t>Tối đa 10 kỹ năng, chỉ chọn từ master data, có gợi ý theo job role và dòng “pool” ước lượng.</t>
        </is>
      </c>
      <c r="H27" s="6" t="inlineStr">
        <is>
          <t>admin-job-list</t>
        </is>
      </c>
      <c r="I27" s="6" t="inlineStr">
        <is>
          <t>/wireframe/admin?screen=admin-job-list</t>
        </is>
      </c>
      <c r="J27" s="6" t="inlineStr">
        <is>
          <t>Job management → Job list (Admin)</t>
        </is>
      </c>
      <c r="K27" s="26" t="inlineStr">
        <is>
          <t>Luan</t>
        </is>
      </c>
      <c r="L27" s="29" t="inlineStr"/>
      <c r="M27" s="30" t="inlineStr"/>
      <c r="N27" s="29" t="inlineStr"/>
    </row>
    <row r="28" ht="28" customHeight="1">
      <c r="A28" s="26" t="n">
        <v>25</v>
      </c>
      <c r="B28" s="5" t="inlineStr">
        <is>
          <t>AD-REC-JOB-18</t>
        </is>
      </c>
      <c r="C28" s="41" t="inlineStr">
        <is>
          <t>Recruitment</t>
        </is>
      </c>
      <c r="D28" s="41" t="inlineStr">
        <is>
          <t>Jobs</t>
        </is>
      </c>
      <c r="E28" s="5" t="inlineStr">
        <is>
          <t>New job — Contact person &amp; recipient emails</t>
        </is>
      </c>
      <c r="F28" s="28" t="inlineStr">
        <is>
          <t>Khối / Section</t>
        </is>
      </c>
      <c r="G28" s="6" t="inlineStr">
        <is>
          <t>Người nhận hồ sơ hiển thị cho ứng viên + các email nhận đơn ứng tuyển.</t>
        </is>
      </c>
      <c r="H28" s="6" t="inlineStr">
        <is>
          <t>admin-job-list</t>
        </is>
      </c>
      <c r="I28" s="6" t="inlineStr">
        <is>
          <t>/wireframe/admin?screen=admin-job-list</t>
        </is>
      </c>
      <c r="J28" s="6" t="inlineStr">
        <is>
          <t>Job management → Job list (Admin)</t>
        </is>
      </c>
      <c r="K28" s="26" t="inlineStr">
        <is>
          <t>Luan</t>
        </is>
      </c>
      <c r="L28" s="29" t="inlineStr"/>
      <c r="M28" s="30" t="inlineStr"/>
      <c r="N28" s="29" t="inlineStr"/>
    </row>
    <row r="29" ht="28" customHeight="1">
      <c r="A29" s="26" t="n">
        <v>26</v>
      </c>
      <c r="B29" s="5" t="inlineStr">
        <is>
          <t>AD-REC-JOB-19</t>
        </is>
      </c>
      <c r="C29" s="41" t="inlineStr">
        <is>
          <t>Recruitment</t>
        </is>
      </c>
      <c r="D29" s="41" t="inlineStr">
        <is>
          <t>Jobs</t>
        </is>
      </c>
      <c r="E29" s="5" t="inlineStr">
        <is>
          <t>New job — Publish</t>
        </is>
      </c>
      <c r="F29" s="45" t="inlineStr">
        <is>
          <t>Hành động</t>
        </is>
      </c>
      <c r="G29" s="6" t="inlineStr">
        <is>
          <t>“Post now” → Open, hoặc “Schedule for later…” → Schedule.</t>
        </is>
      </c>
      <c r="H29" s="6" t="inlineStr">
        <is>
          <t>admin-job-list</t>
        </is>
      </c>
      <c r="I29" s="6" t="inlineStr">
        <is>
          <t>/wireframe/admin?screen=admin-job-list</t>
        </is>
      </c>
      <c r="J29" s="6" t="inlineStr">
        <is>
          <t>Job management → Job list (Admin)</t>
        </is>
      </c>
      <c r="K29" s="26" t="inlineStr">
        <is>
          <t>Luan</t>
        </is>
      </c>
      <c r="L29" s="29" t="inlineStr"/>
      <c r="M29" s="30" t="inlineStr"/>
      <c r="N29" s="29" t="inlineStr"/>
    </row>
    <row r="30" ht="28" customHeight="1">
      <c r="A30" s="26" t="n">
        <v>27</v>
      </c>
      <c r="B30" s="5" t="inlineStr">
        <is>
          <t>AD-REC-JOB-20</t>
        </is>
      </c>
      <c r="C30" s="41" t="inlineStr">
        <is>
          <t>Recruitment</t>
        </is>
      </c>
      <c r="D30" s="41" t="inlineStr">
        <is>
          <t>Jobs</t>
        </is>
      </c>
      <c r="E30" s="5" t="inlineStr">
        <is>
          <t>Modal — Create a new location</t>
        </is>
      </c>
      <c r="F30" s="47" t="inlineStr">
        <is>
          <t>Modal</t>
        </is>
      </c>
      <c r="G30" s="6" t="inlineStr">
        <is>
          <t>Tạo văn phòng mới ngay trong form: Office name · City/Province · Office address. Lưu vào công ty, dùng lại cho mọi tin.</t>
        </is>
      </c>
      <c r="H30" s="6" t="inlineStr">
        <is>
          <t>admin-job-list</t>
        </is>
      </c>
      <c r="I30" s="6" t="inlineStr">
        <is>
          <t>/wireframe/admin?screen=admin-job-list</t>
        </is>
      </c>
      <c r="J30" s="6" t="inlineStr">
        <is>
          <t>Job management → Job list (Admin)</t>
        </is>
      </c>
      <c r="K30" s="26" t="inlineStr">
        <is>
          <t>Luan</t>
        </is>
      </c>
      <c r="L30" s="29" t="inlineStr"/>
      <c r="M30" s="30" t="inlineStr"/>
      <c r="N30" s="29" t="inlineStr"/>
    </row>
    <row r="31" ht="28" customHeight="1">
      <c r="A31" s="31" t="n">
        <v>28</v>
      </c>
      <c r="B31" s="32" t="inlineStr">
        <is>
          <t>AD-REC-APP-01</t>
        </is>
      </c>
      <c r="C31" s="39" t="inlineStr">
        <is>
          <t>Recruitment</t>
        </is>
      </c>
      <c r="D31" s="39" t="inlineStr">
        <is>
          <t>Applicants</t>
        </is>
      </c>
      <c r="E31" s="32" t="inlineStr">
        <is>
          <t>Bộ lọc</t>
        </is>
      </c>
      <c r="F31" s="48" t="inlineStr">
        <is>
          <t>Bộ lọc</t>
        </is>
      </c>
      <c r="G31" s="35" t="inlineStr">
        <is>
          <t>Search · status (Sent/Recalled/Blocked) · stage · company · location · CV type · applied range.</t>
        </is>
      </c>
      <c r="H31" s="35" t="inlineStr">
        <is>
          <t>admin-job-applicants</t>
        </is>
      </c>
      <c r="I31" s="35" t="inlineStr">
        <is>
          <t>/wireframe/admin?screen=admin-job-applicants</t>
        </is>
      </c>
      <c r="J31" s="35" t="inlineStr">
        <is>
          <t>Application management → Application list (Admin)</t>
        </is>
      </c>
      <c r="K31" s="31" t="inlineStr">
        <is>
          <t>Luong</t>
        </is>
      </c>
      <c r="L31" s="36" t="inlineStr"/>
      <c r="M31" s="37" t="inlineStr"/>
      <c r="N31" s="36" t="inlineStr"/>
    </row>
    <row r="32" ht="28" customHeight="1">
      <c r="A32" s="26" t="n">
        <v>29</v>
      </c>
      <c r="B32" s="5" t="inlineStr">
        <is>
          <t>AD-REC-APP-02</t>
        </is>
      </c>
      <c r="C32" s="41" t="inlineStr">
        <is>
          <t>Recruitment</t>
        </is>
      </c>
      <c r="D32" s="41" t="inlineStr">
        <is>
          <t>Applicants</t>
        </is>
      </c>
      <c r="E32" s="5" t="inlineStr">
        <is>
          <t>Bảng danh sách</t>
        </is>
      </c>
      <c r="F32" s="38" t="inlineStr">
        <is>
          <t>Bảng danh sách</t>
        </is>
      </c>
      <c r="G32" s="6" t="inlineStr">
        <is>
          <t>Hai cột trạng thái tách chủ sở hữu: “Status · Saramin” và “Stage · employer” (HQ chỉ đọc cột stage).</t>
        </is>
      </c>
      <c r="H32" s="6" t="inlineStr">
        <is>
          <t>admin-job-applicants</t>
        </is>
      </c>
      <c r="I32" s="6" t="inlineStr">
        <is>
          <t>/wireframe/admin?screen=admin-job-applicants</t>
        </is>
      </c>
      <c r="J32" s="6" t="inlineStr">
        <is>
          <t>Application management → Application list (Admin)</t>
        </is>
      </c>
      <c r="K32" s="26" t="inlineStr">
        <is>
          <t>Luong</t>
        </is>
      </c>
      <c r="L32" s="29" t="inlineStr"/>
      <c r="M32" s="30" t="inlineStr"/>
      <c r="N32" s="29" t="inlineStr"/>
    </row>
    <row r="33" ht="28" customHeight="1">
      <c r="A33" s="26" t="n">
        <v>30</v>
      </c>
      <c r="B33" s="5" t="inlineStr">
        <is>
          <t>AD-REC-APP-03</t>
        </is>
      </c>
      <c r="C33" s="41" t="inlineStr">
        <is>
          <t>Recruitment</t>
        </is>
      </c>
      <c r="D33" s="41" t="inlineStr">
        <is>
          <t>Applicants</t>
        </is>
      </c>
      <c r="E33" s="5" t="inlineStr">
        <is>
          <t>Applicant detail — hồ sơ &amp; CV</t>
        </is>
      </c>
      <c r="F33" s="44" t="inlineStr">
        <is>
          <t>Trang chi tiết</t>
        </is>
      </c>
      <c r="G33" s="6" t="inlineStr">
        <is>
          <t>Thông tin ứng viên + CV viewer. Mở CV / bỏ che thông tin liên hệ là hành động PII, luôn ghi audit.</t>
        </is>
      </c>
      <c r="H33" s="6" t="inlineStr">
        <is>
          <t>admin-job-applicants</t>
        </is>
      </c>
      <c r="I33" s="6" t="inlineStr">
        <is>
          <t>/wireframe/admin?screen=admin-job-applicants</t>
        </is>
      </c>
      <c r="J33" s="6" t="inlineStr">
        <is>
          <t>Application management → Application list (Admin)</t>
        </is>
      </c>
      <c r="K33" s="26" t="inlineStr">
        <is>
          <t>Luong</t>
        </is>
      </c>
      <c r="L33" s="29" t="inlineStr"/>
      <c r="M33" s="30" t="inlineStr"/>
      <c r="N33" s="29" t="inlineStr"/>
    </row>
    <row r="34" ht="28" customHeight="1">
      <c r="A34" s="26" t="n">
        <v>31</v>
      </c>
      <c r="B34" s="5" t="inlineStr">
        <is>
          <t>AD-REC-APP-04</t>
        </is>
      </c>
      <c r="C34" s="41" t="inlineStr">
        <is>
          <t>Recruitment</t>
        </is>
      </c>
      <c r="D34" s="41" t="inlineStr">
        <is>
          <t>Applicants</t>
        </is>
      </c>
      <c r="E34" s="5" t="inlineStr">
        <is>
          <t>Applicant detail — Recall</t>
        </is>
      </c>
      <c r="F34" s="45" t="inlineStr">
        <is>
          <t>Hành động</t>
        </is>
      </c>
      <c r="G34" s="6" t="inlineStr">
        <is>
          <t>Thu hồi hồ sơ khỏi dashboard nhà tuyển dụng (không thu hồi được email đã gửi). Là trạng thái cuối.</t>
        </is>
      </c>
      <c r="H34" s="6" t="inlineStr">
        <is>
          <t>admin-job-applicants</t>
        </is>
      </c>
      <c r="I34" s="6" t="inlineStr">
        <is>
          <t>/wireframe/admin?screen=admin-job-applicants</t>
        </is>
      </c>
      <c r="J34" s="6" t="inlineStr">
        <is>
          <t>Application management → Application list (Admin)</t>
        </is>
      </c>
      <c r="K34" s="26" t="inlineStr">
        <is>
          <t>Luong</t>
        </is>
      </c>
      <c r="L34" s="29" t="inlineStr"/>
      <c r="M34" s="30" t="inlineStr"/>
      <c r="N34" s="29" t="inlineStr"/>
    </row>
    <row r="35" ht="28" customHeight="1">
      <c r="A35" s="26" t="n">
        <v>32</v>
      </c>
      <c r="B35" s="5" t="inlineStr">
        <is>
          <t>AD-REC-APP-05</t>
        </is>
      </c>
      <c r="C35" s="41" t="inlineStr">
        <is>
          <t>Recruitment</t>
        </is>
      </c>
      <c r="D35" s="41" t="inlineStr">
        <is>
          <t>Applicants</t>
        </is>
      </c>
      <c r="E35" s="5" t="inlineStr">
        <is>
          <t>Applicant detail — Block user</t>
        </is>
      </c>
      <c r="F35" s="45" t="inlineStr">
        <is>
          <t>Hành động</t>
        </is>
      </c>
      <c r="G35" s="6" t="inlineStr">
        <is>
          <t>Chặn tài khoản ứng viên: bắt buộc chọn lý do, thu hồi toàn bộ hồ sơ đã gửi của người đó.</t>
        </is>
      </c>
      <c r="H35" s="6" t="inlineStr">
        <is>
          <t>admin-job-applicants</t>
        </is>
      </c>
      <c r="I35" s="6" t="inlineStr">
        <is>
          <t>/wireframe/admin?screen=admin-job-applicants</t>
        </is>
      </c>
      <c r="J35" s="6" t="inlineStr">
        <is>
          <t>Application management → Application list (Admin)</t>
        </is>
      </c>
      <c r="K35" s="26" t="inlineStr">
        <is>
          <t>Luong</t>
        </is>
      </c>
      <c r="L35" s="29" t="inlineStr"/>
      <c r="M35" s="30" t="inlineStr"/>
      <c r="N35" s="29" t="inlineStr"/>
    </row>
    <row r="36" ht="28" customHeight="1">
      <c r="A36" s="26" t="n">
        <v>33</v>
      </c>
      <c r="B36" s="5" t="inlineStr">
        <is>
          <t>AD-REC-APP-06</t>
        </is>
      </c>
      <c r="C36" s="41" t="inlineStr">
        <is>
          <t>Recruitment</t>
        </is>
      </c>
      <c r="D36" s="41" t="inlineStr">
        <is>
          <t>Applicants</t>
        </is>
      </c>
      <c r="E36" s="5" t="inlineStr">
        <is>
          <t>Applicant detail — Edit · Note</t>
        </is>
      </c>
      <c r="F36" s="45" t="inlineStr">
        <is>
          <t>Hành động</t>
        </is>
      </c>
      <c r="G36" s="6" t="inlineStr">
        <is>
          <t>Sửa thông tin thiếu và ghi chú nội bộ.</t>
        </is>
      </c>
      <c r="H36" s="6" t="inlineStr">
        <is>
          <t>admin-job-applicants</t>
        </is>
      </c>
      <c r="I36" s="6" t="inlineStr">
        <is>
          <t>/wireframe/admin?screen=admin-job-applicants</t>
        </is>
      </c>
      <c r="J36" s="6" t="inlineStr">
        <is>
          <t>Application management → Application list (Admin)</t>
        </is>
      </c>
      <c r="K36" s="26" t="inlineStr">
        <is>
          <t>Luong</t>
        </is>
      </c>
      <c r="L36" s="29" t="inlineStr"/>
      <c r="M36" s="30" t="inlineStr"/>
      <c r="N36" s="29" t="inlineStr"/>
    </row>
    <row r="37" ht="28" customHeight="1">
      <c r="A37" s="26" t="n">
        <v>34</v>
      </c>
      <c r="B37" s="5" t="inlineStr">
        <is>
          <t>AD-REC-APP-07</t>
        </is>
      </c>
      <c r="C37" s="41" t="inlineStr">
        <is>
          <t>Recruitment</t>
        </is>
      </c>
      <c r="D37" s="41" t="inlineStr">
        <is>
          <t>Applicants</t>
        </is>
      </c>
      <c r="E37" s="5" t="inlineStr">
        <is>
          <t>Export CSV</t>
        </is>
      </c>
      <c r="F37" s="45" t="inlineStr">
        <is>
          <t>Hành động</t>
        </is>
      </c>
      <c r="G37" s="6" t="inlineStr">
        <is>
          <t>Xuất danh sách đã lọc — có PII nên cũng ghi audit.</t>
        </is>
      </c>
      <c r="H37" s="6" t="inlineStr">
        <is>
          <t>admin-job-applicants</t>
        </is>
      </c>
      <c r="I37" s="6" t="inlineStr">
        <is>
          <t>/wireframe/admin?screen=admin-job-applicants</t>
        </is>
      </c>
      <c r="J37" s="6" t="inlineStr">
        <is>
          <t>Application management → Application list (Admin)</t>
        </is>
      </c>
      <c r="K37" s="26" t="inlineStr">
        <is>
          <t>Luong</t>
        </is>
      </c>
      <c r="L37" s="29" t="inlineStr"/>
      <c r="M37" s="30" t="inlineStr"/>
      <c r="N37" s="29" t="inlineStr"/>
    </row>
    <row r="38" ht="28" customHeight="1">
      <c r="A38" s="31" t="n">
        <v>35</v>
      </c>
      <c r="B38" s="32" t="inlineStr">
        <is>
          <t>AD-REC-RES-01</t>
        </is>
      </c>
      <c r="C38" s="39" t="inlineStr">
        <is>
          <t>Recruitment</t>
        </is>
      </c>
      <c r="D38" s="39" t="inlineStr">
        <is>
          <t>Resumes</t>
        </is>
      </c>
      <c r="E38" s="32" t="inlineStr">
        <is>
          <t>All candidates</t>
        </is>
      </c>
      <c r="F38" s="40" t="inlineStr">
        <is>
          <t>Tab trạng thái</t>
        </is>
      </c>
      <c r="G38" s="35" t="inlineStr">
        <is>
          <t>Toàn bộ pool ứng viên.</t>
        </is>
      </c>
      <c r="H38" s="35" t="inlineStr">
        <is>
          <t>admin-resumes</t>
        </is>
      </c>
      <c r="I38" s="35" t="inlineStr">
        <is>
          <t>/wireframe/admin?screen=admin-resumes</t>
        </is>
      </c>
      <c r="J38" s="35" t="inlineStr">
        <is>
          <t>Resume management → Resume list (Admin)</t>
        </is>
      </c>
      <c r="K38" s="31" t="inlineStr">
        <is>
          <t>Luong</t>
        </is>
      </c>
      <c r="L38" s="36" t="inlineStr"/>
      <c r="M38" s="37" t="inlineStr"/>
      <c r="N38" s="36" t="inlineStr"/>
    </row>
    <row r="39" ht="28" customHeight="1">
      <c r="A39" s="26" t="n">
        <v>36</v>
      </c>
      <c r="B39" s="5" t="inlineStr">
        <is>
          <t>AD-REC-RES-02</t>
        </is>
      </c>
      <c r="C39" s="41" t="inlineStr">
        <is>
          <t>Recruitment</t>
        </is>
      </c>
      <c r="D39" s="41" t="inlineStr">
        <is>
          <t>Resumes</t>
        </is>
      </c>
      <c r="E39" s="5" t="inlineStr">
        <is>
          <t>Discoverable</t>
        </is>
      </c>
      <c r="F39" s="42" t="inlineStr">
        <is>
          <t>Tab trạng thái</t>
        </is>
      </c>
      <c r="G39" s="6" t="inlineStr">
        <is>
          <t>Ứng viên đồng ý cho nhà tuyển dụng tìm thấy.</t>
        </is>
      </c>
      <c r="H39" s="6" t="inlineStr">
        <is>
          <t>admin-resumes</t>
        </is>
      </c>
      <c r="I39" s="6" t="inlineStr">
        <is>
          <t>/wireframe/admin?screen=admin-resumes</t>
        </is>
      </c>
      <c r="J39" s="6" t="inlineStr">
        <is>
          <t>Resume management → Resume list (Admin)</t>
        </is>
      </c>
      <c r="K39" s="26" t="inlineStr">
        <is>
          <t>Luong</t>
        </is>
      </c>
      <c r="L39" s="29" t="inlineStr"/>
      <c r="M39" s="30" t="inlineStr"/>
      <c r="N39" s="29" t="inlineStr"/>
    </row>
    <row r="40" ht="28" customHeight="1">
      <c r="A40" s="26" t="n">
        <v>37</v>
      </c>
      <c r="B40" s="5" t="inlineStr">
        <is>
          <t>AD-REC-RES-03</t>
        </is>
      </c>
      <c r="C40" s="41" t="inlineStr">
        <is>
          <t>Recruitment</t>
        </is>
      </c>
      <c r="D40" s="41" t="inlineStr">
        <is>
          <t>Resumes</t>
        </is>
      </c>
      <c r="E40" s="5" t="inlineStr">
        <is>
          <t>Hidden</t>
        </is>
      </c>
      <c r="F40" s="42" t="inlineStr">
        <is>
          <t>Tab trạng thái</t>
        </is>
      </c>
      <c r="G40" s="6" t="inlineStr">
        <is>
          <t>Ứng viên đang ẩn — không xuất hiện trong CV search.</t>
        </is>
      </c>
      <c r="H40" s="6" t="inlineStr">
        <is>
          <t>admin-resumes</t>
        </is>
      </c>
      <c r="I40" s="6" t="inlineStr">
        <is>
          <t>/wireframe/admin?screen=admin-resumes</t>
        </is>
      </c>
      <c r="J40" s="6" t="inlineStr">
        <is>
          <t>Resume management → Resume list (Admin)</t>
        </is>
      </c>
      <c r="K40" s="26" t="inlineStr">
        <is>
          <t>Luong</t>
        </is>
      </c>
      <c r="L40" s="29" t="inlineStr"/>
      <c r="M40" s="30" t="inlineStr"/>
      <c r="N40" s="29" t="inlineStr"/>
    </row>
    <row r="41" ht="28" customHeight="1">
      <c r="A41" s="26" t="n">
        <v>38</v>
      </c>
      <c r="B41" s="5" t="inlineStr">
        <is>
          <t>AD-REC-RES-04</t>
        </is>
      </c>
      <c r="C41" s="41" t="inlineStr">
        <is>
          <t>Recruitment</t>
        </is>
      </c>
      <c r="D41" s="41" t="inlineStr">
        <is>
          <t>Resumes</t>
        </is>
      </c>
      <c r="E41" s="5" t="inlineStr">
        <is>
          <t>Flagged</t>
        </is>
      </c>
      <c r="F41" s="42" t="inlineStr">
        <is>
          <t>Tab trạng thái</t>
        </is>
      </c>
      <c r="G41" s="6" t="inlineStr">
        <is>
          <t>Bị gắn cờ cần xem lại.</t>
        </is>
      </c>
      <c r="H41" s="6" t="inlineStr">
        <is>
          <t>admin-resumes</t>
        </is>
      </c>
      <c r="I41" s="6" t="inlineStr">
        <is>
          <t>/wireframe/admin?screen=admin-resumes</t>
        </is>
      </c>
      <c r="J41" s="6" t="inlineStr">
        <is>
          <t>Resume management → Resume list (Admin)</t>
        </is>
      </c>
      <c r="K41" s="26" t="inlineStr">
        <is>
          <t>Luong</t>
        </is>
      </c>
      <c r="L41" s="29" t="inlineStr"/>
      <c r="M41" s="30" t="inlineStr"/>
      <c r="N41" s="29" t="inlineStr"/>
    </row>
    <row r="42" ht="28" customHeight="1">
      <c r="A42" s="26" t="n">
        <v>39</v>
      </c>
      <c r="B42" s="5" t="inlineStr">
        <is>
          <t>AD-REC-RES-05</t>
        </is>
      </c>
      <c r="C42" s="41" t="inlineStr">
        <is>
          <t>Recruitment</t>
        </is>
      </c>
      <c r="D42" s="41" t="inlineStr">
        <is>
          <t>Resumes</t>
        </is>
      </c>
      <c r="E42" s="5" t="inlineStr">
        <is>
          <t>Removed from pool</t>
        </is>
      </c>
      <c r="F42" s="42" t="inlineStr">
        <is>
          <t>Tab trạng thái</t>
        </is>
      </c>
      <c r="G42" s="6" t="inlineStr">
        <is>
          <t>Đã gỡ khỏi pool bởi HQ.</t>
        </is>
      </c>
      <c r="H42" s="6" t="inlineStr">
        <is>
          <t>admin-resumes</t>
        </is>
      </c>
      <c r="I42" s="6" t="inlineStr">
        <is>
          <t>/wireframe/admin?screen=admin-resumes</t>
        </is>
      </c>
      <c r="J42" s="6" t="inlineStr">
        <is>
          <t>Resume management → Resume list (Admin)</t>
        </is>
      </c>
      <c r="K42" s="26" t="inlineStr">
        <is>
          <t>Luong</t>
        </is>
      </c>
      <c r="L42" s="29" t="inlineStr"/>
      <c r="M42" s="30" t="inlineStr"/>
      <c r="N42" s="29" t="inlineStr"/>
    </row>
    <row r="43" ht="28" customHeight="1">
      <c r="A43" s="26" t="n">
        <v>40</v>
      </c>
      <c r="B43" s="5" t="inlineStr">
        <is>
          <t>AD-REC-RES-06</t>
        </is>
      </c>
      <c r="C43" s="41" t="inlineStr">
        <is>
          <t>Recruitment</t>
        </is>
      </c>
      <c r="D43" s="41" t="inlineStr">
        <is>
          <t>Resumes</t>
        </is>
      </c>
      <c r="E43" s="5" t="inlineStr">
        <is>
          <t>Bảng danh sách</t>
        </is>
      </c>
      <c r="F43" s="38" t="inlineStr">
        <is>
          <t>Bảng danh sách</t>
        </is>
      </c>
      <c r="G43" s="6" t="inlineStr">
        <is>
          <t>Candidate · searchable CV (title/exp) · location · số CV · visibility (của ứng viên) · moderation (của HQ) · updated.</t>
        </is>
      </c>
      <c r="H43" s="6" t="inlineStr">
        <is>
          <t>admin-resumes</t>
        </is>
      </c>
      <c r="I43" s="6" t="inlineStr">
        <is>
          <t>/wireframe/admin?screen=admin-resumes</t>
        </is>
      </c>
      <c r="J43" s="6" t="inlineStr">
        <is>
          <t>Resume management → Resume list (Admin)</t>
        </is>
      </c>
      <c r="K43" s="26" t="inlineStr">
        <is>
          <t>Luong</t>
        </is>
      </c>
      <c r="L43" s="29" t="inlineStr"/>
      <c r="M43" s="30" t="inlineStr"/>
      <c r="N43" s="29" t="inlineStr"/>
    </row>
    <row r="44" ht="28" customHeight="1">
      <c r="A44" s="26" t="n">
        <v>41</v>
      </c>
      <c r="B44" s="5" t="inlineStr">
        <is>
          <t>AD-REC-RES-07</t>
        </is>
      </c>
      <c r="C44" s="41" t="inlineStr">
        <is>
          <t>Recruitment</t>
        </is>
      </c>
      <c r="D44" s="41" t="inlineStr">
        <is>
          <t>Resumes</t>
        </is>
      </c>
      <c r="E44" s="5" t="inlineStr">
        <is>
          <t>Resume detail — CV viewer</t>
        </is>
      </c>
      <c r="F44" s="44" t="inlineStr">
        <is>
          <t>Trang chi tiết</t>
        </is>
      </c>
      <c r="G44" s="6" t="inlineStr">
        <is>
          <t>Xem CV + bản Saramin standard. Hành động PII, ghi audit.</t>
        </is>
      </c>
      <c r="H44" s="6" t="inlineStr">
        <is>
          <t>admin-resumes</t>
        </is>
      </c>
      <c r="I44" s="6" t="inlineStr">
        <is>
          <t>/wireframe/admin?screen=admin-resumes</t>
        </is>
      </c>
      <c r="J44" s="6" t="inlineStr">
        <is>
          <t>Resume management → Resume list (Admin)</t>
        </is>
      </c>
      <c r="K44" s="26" t="inlineStr">
        <is>
          <t>Luong</t>
        </is>
      </c>
      <c r="L44" s="29" t="inlineStr"/>
      <c r="M44" s="30" t="inlineStr"/>
      <c r="N44" s="29" t="inlineStr"/>
    </row>
    <row r="45" ht="28" customHeight="1">
      <c r="A45" s="26" t="n">
        <v>42</v>
      </c>
      <c r="B45" s="5" t="inlineStr">
        <is>
          <t>AD-REC-RES-08</t>
        </is>
      </c>
      <c r="C45" s="41" t="inlineStr">
        <is>
          <t>Recruitment</t>
        </is>
      </c>
      <c r="D45" s="41" t="inlineStr">
        <is>
          <t>Resumes</t>
        </is>
      </c>
      <c r="E45" s="5" t="inlineStr">
        <is>
          <t>Resume detail — Moderation (HQ)</t>
        </is>
      </c>
      <c r="F45" s="45" t="inlineStr">
        <is>
          <t>Hành động</t>
        </is>
      </c>
      <c r="G45" s="6" t="inlineStr">
        <is>
          <t>Gắn cờ / gỡ khỏi pool. HQ không được đổi visibility của ứng viên.</t>
        </is>
      </c>
      <c r="H45" s="6" t="inlineStr">
        <is>
          <t>admin-resumes</t>
        </is>
      </c>
      <c r="I45" s="6" t="inlineStr">
        <is>
          <t>/wireframe/admin?screen=admin-resumes</t>
        </is>
      </c>
      <c r="J45" s="6" t="inlineStr">
        <is>
          <t>Resume management → Resume list (Admin)</t>
        </is>
      </c>
      <c r="K45" s="26" t="inlineStr">
        <is>
          <t>Luong</t>
        </is>
      </c>
      <c r="L45" s="29" t="inlineStr"/>
      <c r="M45" s="30" t="inlineStr"/>
      <c r="N45" s="29" t="inlineStr"/>
    </row>
    <row r="46" ht="28" customHeight="1">
      <c r="A46" s="26" t="n">
        <v>43</v>
      </c>
      <c r="B46" s="5" t="inlineStr">
        <is>
          <t>AD-REC-RES-09</t>
        </is>
      </c>
      <c r="C46" s="41" t="inlineStr">
        <is>
          <t>Recruitment</t>
        </is>
      </c>
      <c r="D46" s="41" t="inlineStr">
        <is>
          <t>Resumes</t>
        </is>
      </c>
      <c r="E46" s="5" t="inlineStr">
        <is>
          <t>New resume — 1 · Personal info</t>
        </is>
      </c>
      <c r="F46" s="46" t="inlineStr">
        <is>
          <t>Bước trong form</t>
        </is>
      </c>
      <c r="G46" s="6" t="inlineStr">
        <is>
          <t>HQ nhập hộ ứng viên: ai và liên hệ thế nào.</t>
        </is>
      </c>
      <c r="H46" s="6" t="inlineStr">
        <is>
          <t>admin-resumes</t>
        </is>
      </c>
      <c r="I46" s="6" t="inlineStr">
        <is>
          <t>/wireframe/admin?screen=admin-resumes</t>
        </is>
      </c>
      <c r="J46" s="6" t="inlineStr">
        <is>
          <t>Resume management → Resume list (Admin)</t>
        </is>
      </c>
      <c r="K46" s="26" t="inlineStr">
        <is>
          <t>Luong</t>
        </is>
      </c>
      <c r="L46" s="29" t="inlineStr"/>
      <c r="M46" s="30" t="inlineStr"/>
      <c r="N46" s="29" t="inlineStr"/>
    </row>
    <row r="47" ht="28" customHeight="1">
      <c r="A47" s="26" t="n">
        <v>44</v>
      </c>
      <c r="B47" s="5" t="inlineStr">
        <is>
          <t>AD-REC-RES-10</t>
        </is>
      </c>
      <c r="C47" s="41" t="inlineStr">
        <is>
          <t>Recruitment</t>
        </is>
      </c>
      <c r="D47" s="41" t="inlineStr">
        <is>
          <t>Resumes</t>
        </is>
      </c>
      <c r="E47" s="5" t="inlineStr">
        <is>
          <t>New resume — 2 · Headline &amp; content</t>
        </is>
      </c>
      <c r="F47" s="46" t="inlineStr">
        <is>
          <t>Bước trong form</t>
        </is>
      </c>
      <c r="G47" s="6" t="inlineStr">
        <is>
          <t>Tóm tắt kinh nghiệm cho nhà tuyển dụng đọc.</t>
        </is>
      </c>
      <c r="H47" s="6" t="inlineStr">
        <is>
          <t>admin-resumes</t>
        </is>
      </c>
      <c r="I47" s="6" t="inlineStr">
        <is>
          <t>/wireframe/admin?screen=admin-resumes</t>
        </is>
      </c>
      <c r="J47" s="6" t="inlineStr">
        <is>
          <t>Resume management → Resume list (Admin)</t>
        </is>
      </c>
      <c r="K47" s="26" t="inlineStr">
        <is>
          <t>Luong</t>
        </is>
      </c>
      <c r="L47" s="29" t="inlineStr"/>
      <c r="M47" s="30" t="inlineStr"/>
      <c r="N47" s="29" t="inlineStr"/>
    </row>
    <row r="48" ht="28" customHeight="1">
      <c r="A48" s="26" t="n">
        <v>45</v>
      </c>
      <c r="B48" s="5" t="inlineStr">
        <is>
          <t>AD-REC-RES-11</t>
        </is>
      </c>
      <c r="C48" s="41" t="inlineStr">
        <is>
          <t>Recruitment</t>
        </is>
      </c>
      <c r="D48" s="41" t="inlineStr">
        <is>
          <t>Resumes</t>
        </is>
      </c>
      <c r="E48" s="5" t="inlineStr">
        <is>
          <t>New resume — 3 · AI tags</t>
        </is>
      </c>
      <c r="F48" s="46" t="inlineStr">
        <is>
          <t>Bước trong form</t>
        </is>
      </c>
      <c r="G48" s="6" t="inlineStr">
        <is>
          <t>AI đọc nội dung và đề xuất tag chuẩn Saramin; operator duyệt lại.</t>
        </is>
      </c>
      <c r="H48" s="6" t="inlineStr">
        <is>
          <t>admin-resumes</t>
        </is>
      </c>
      <c r="I48" s="6" t="inlineStr">
        <is>
          <t>/wireframe/admin?screen=admin-resumes</t>
        </is>
      </c>
      <c r="J48" s="6" t="inlineStr">
        <is>
          <t>Resume management → Resume list (Admin)</t>
        </is>
      </c>
      <c r="K48" s="26" t="inlineStr">
        <is>
          <t>Luong</t>
        </is>
      </c>
      <c r="L48" s="29" t="inlineStr"/>
      <c r="M48" s="30" t="inlineStr"/>
      <c r="N48" s="29" t="inlineStr"/>
    </row>
    <row r="49" ht="28" customHeight="1">
      <c r="A49" s="26" t="n">
        <v>46</v>
      </c>
      <c r="B49" s="5" t="inlineStr">
        <is>
          <t>AD-REC-RES-12</t>
        </is>
      </c>
      <c r="C49" s="41" t="inlineStr">
        <is>
          <t>Recruitment</t>
        </is>
      </c>
      <c r="D49" s="41" t="inlineStr">
        <is>
          <t>Resumes</t>
        </is>
      </c>
      <c r="E49" s="5" t="inlineStr">
        <is>
          <t>New resume — 4 · Preview &amp; submit</t>
        </is>
      </c>
      <c r="F49" s="46" t="inlineStr">
        <is>
          <t>Bước trong form</t>
        </is>
      </c>
      <c r="G49" s="6" t="inlineStr">
        <is>
          <t>Đọc lại toàn bộ trước khi lưu.</t>
        </is>
      </c>
      <c r="H49" s="6" t="inlineStr">
        <is>
          <t>admin-resumes</t>
        </is>
      </c>
      <c r="I49" s="6" t="inlineStr">
        <is>
          <t>/wireframe/admin?screen=admin-resumes</t>
        </is>
      </c>
      <c r="J49" s="6" t="inlineStr">
        <is>
          <t>Resume management → Resume list (Admin)</t>
        </is>
      </c>
      <c r="K49" s="26" t="inlineStr">
        <is>
          <t>Luong</t>
        </is>
      </c>
      <c r="L49" s="29" t="inlineStr"/>
      <c r="M49" s="30" t="inlineStr"/>
      <c r="N49" s="29" t="inlineStr"/>
    </row>
    <row r="50" ht="28" customHeight="1">
      <c r="A50" s="31" t="n">
        <v>47</v>
      </c>
      <c r="B50" s="32" t="inlineStr">
        <is>
          <t>AD-SER-DIS-01</t>
        </is>
      </c>
      <c r="C50" s="49" t="inlineStr">
        <is>
          <t>Service</t>
        </is>
      </c>
      <c r="D50" s="49" t="inlineStr">
        <is>
          <t>Displays</t>
        </is>
      </c>
      <c r="E50" s="32" t="inlineStr">
        <is>
          <t>Switcher — Banners</t>
        </is>
      </c>
      <c r="F50" s="50" t="inlineStr">
        <is>
          <t>Tab</t>
        </is>
      </c>
      <c r="G50" s="35" t="inlineStr">
        <is>
          <t>Nửa Banner của trang. Cùng vòng đời với Popup nên chung một trang, không tách hai mục nav.</t>
        </is>
      </c>
      <c r="H50" s="35" t="inlineStr">
        <is>
          <t>admin-banners</t>
        </is>
      </c>
      <c r="I50" s="35" t="inlineStr">
        <is>
          <t>/wireframe/admin?screen=admin-banners</t>
        </is>
      </c>
      <c r="J50" s="35" t="inlineStr">
        <is>
          <t>Banners &amp; popups</t>
        </is>
      </c>
      <c r="K50" s="31" t="inlineStr">
        <is>
          <t>Luong</t>
        </is>
      </c>
      <c r="L50" s="36" t="inlineStr"/>
      <c r="M50" s="37" t="inlineStr"/>
      <c r="N50" s="36" t="inlineStr"/>
    </row>
    <row r="51" ht="28" customHeight="1">
      <c r="A51" s="26" t="n">
        <v>48</v>
      </c>
      <c r="B51" s="5" t="inlineStr">
        <is>
          <t>AD-SER-DIS-02</t>
        </is>
      </c>
      <c r="C51" s="51" t="inlineStr">
        <is>
          <t>Service</t>
        </is>
      </c>
      <c r="D51" s="51" t="inlineStr">
        <is>
          <t>Displays</t>
        </is>
      </c>
      <c r="E51" s="5" t="inlineStr">
        <is>
          <t>Switcher — Popups</t>
        </is>
      </c>
      <c r="F51" s="52" t="inlineStr">
        <is>
          <t>Tab</t>
        </is>
      </c>
      <c r="G51" s="6" t="inlineStr">
        <is>
          <t>Nửa Popup của trang.</t>
        </is>
      </c>
      <c r="H51" s="6" t="inlineStr">
        <is>
          <t>admin-banners</t>
        </is>
      </c>
      <c r="I51" s="6" t="inlineStr">
        <is>
          <t>/wireframe/admin?screen=admin-banners</t>
        </is>
      </c>
      <c r="J51" s="6" t="inlineStr">
        <is>
          <t>Banners &amp; popups</t>
        </is>
      </c>
      <c r="K51" s="26" t="inlineStr">
        <is>
          <t>Luong</t>
        </is>
      </c>
      <c r="L51" s="29" t="inlineStr"/>
      <c r="M51" s="30" t="inlineStr"/>
      <c r="N51" s="29" t="inlineStr"/>
    </row>
    <row r="52" ht="28" customHeight="1">
      <c r="A52" s="26" t="n">
        <v>49</v>
      </c>
      <c r="B52" s="5" t="inlineStr">
        <is>
          <t>AD-SER-DIS-03</t>
        </is>
      </c>
      <c r="C52" s="51" t="inlineStr">
        <is>
          <t>Service</t>
        </is>
      </c>
      <c r="D52" s="51" t="inlineStr">
        <is>
          <t>Displays</t>
        </is>
      </c>
      <c r="E52" s="5" t="inlineStr">
        <is>
          <t>Danh sách + bộ lọc</t>
        </is>
      </c>
      <c r="F52" s="38" t="inlineStr">
        <is>
          <t>Bảng danh sách</t>
        </is>
      </c>
      <c r="G52" s="6" t="inlineStr">
        <is>
          <t>Vị trí · công ty · lịch chạy · trạng thái.</t>
        </is>
      </c>
      <c r="H52" s="6" t="inlineStr">
        <is>
          <t>admin-banners</t>
        </is>
      </c>
      <c r="I52" s="6" t="inlineStr">
        <is>
          <t>/wireframe/admin?screen=admin-banners</t>
        </is>
      </c>
      <c r="J52" s="6" t="inlineStr">
        <is>
          <t>Banners &amp; popups</t>
        </is>
      </c>
      <c r="K52" s="26" t="inlineStr">
        <is>
          <t>Luong</t>
        </is>
      </c>
      <c r="L52" s="29" t="inlineStr"/>
      <c r="M52" s="30" t="inlineStr"/>
      <c r="N52" s="29" t="inlineStr"/>
    </row>
    <row r="53" ht="28" customHeight="1">
      <c r="A53" s="26" t="n">
        <v>50</v>
      </c>
      <c r="B53" s="5" t="inlineStr">
        <is>
          <t>AD-SER-DIS-04</t>
        </is>
      </c>
      <c r="C53" s="51" t="inlineStr">
        <is>
          <t>Service</t>
        </is>
      </c>
      <c r="D53" s="51" t="inlineStr">
        <is>
          <t>Displays</t>
        </is>
      </c>
      <c r="E53" s="5" t="inlineStr">
        <is>
          <t>Create banner</t>
        </is>
      </c>
      <c r="F53" s="53" t="inlineStr">
        <is>
          <t>Form tạo mới</t>
        </is>
      </c>
      <c r="G53" s="6" t="inlineStr">
        <is>
          <t>Chọn placement, lịch chạy, targeting, creative (upload / logo công ty / tin đăng).</t>
        </is>
      </c>
      <c r="H53" s="6" t="inlineStr">
        <is>
          <t>admin-banners</t>
        </is>
      </c>
      <c r="I53" s="6" t="inlineStr">
        <is>
          <t>/wireframe/admin?screen=admin-banners</t>
        </is>
      </c>
      <c r="J53" s="6" t="inlineStr">
        <is>
          <t>Banners &amp; popups</t>
        </is>
      </c>
      <c r="K53" s="26" t="inlineStr">
        <is>
          <t>Luong</t>
        </is>
      </c>
      <c r="L53" s="29" t="inlineStr"/>
      <c r="M53" s="30" t="inlineStr"/>
      <c r="N53" s="29" t="inlineStr"/>
    </row>
    <row r="54" ht="28" customHeight="1">
      <c r="A54" s="26" t="n">
        <v>51</v>
      </c>
      <c r="B54" s="5" t="inlineStr">
        <is>
          <t>AD-SER-DIS-05</t>
        </is>
      </c>
      <c r="C54" s="51" t="inlineStr">
        <is>
          <t>Service</t>
        </is>
      </c>
      <c r="D54" s="51" t="inlineStr">
        <is>
          <t>Displays</t>
        </is>
      </c>
      <c r="E54" s="5" t="inlineStr">
        <is>
          <t>Create popup</t>
        </is>
      </c>
      <c r="F54" s="53" t="inlineStr">
        <is>
          <t>Form tạo mới</t>
        </is>
      </c>
      <c r="G54" s="6" t="inlineStr">
        <is>
          <t>Tương tự banner, cho vị trí popup.</t>
        </is>
      </c>
      <c r="H54" s="6" t="inlineStr">
        <is>
          <t>admin-banners</t>
        </is>
      </c>
      <c r="I54" s="6" t="inlineStr">
        <is>
          <t>/wireframe/admin?screen=admin-banners</t>
        </is>
      </c>
      <c r="J54" s="6" t="inlineStr">
        <is>
          <t>Banners &amp; popups</t>
        </is>
      </c>
      <c r="K54" s="26" t="inlineStr">
        <is>
          <t>Luong</t>
        </is>
      </c>
      <c r="L54" s="29" t="inlineStr"/>
      <c r="M54" s="30" t="inlineStr"/>
      <c r="N54" s="29" t="inlineStr"/>
    </row>
    <row r="55" ht="28" customHeight="1">
      <c r="A55" s="31" t="n">
        <v>52</v>
      </c>
      <c r="B55" s="32" t="inlineStr">
        <is>
          <t>AD-SER-MAN-01</t>
        </is>
      </c>
      <c r="C55" s="49" t="inlineStr">
        <is>
          <t>Service</t>
        </is>
      </c>
      <c r="D55" s="49" t="inlineStr">
        <is>
          <t>Manual services</t>
        </is>
      </c>
      <c r="E55" s="32" t="inlineStr">
        <is>
          <t>Danh sách</t>
        </is>
      </c>
      <c r="F55" s="54" t="inlineStr">
        <is>
          <t>Bảng danh sách</t>
        </is>
      </c>
      <c r="G55" s="35" t="inlineStr">
        <is>
          <t>Một danh sách duy nhất ở mức (công ty × dịch vụ) — không tách thành 5 hàng đợi.</t>
        </is>
      </c>
      <c r="H55" s="35" t="inlineStr">
        <is>
          <t>admin-manual-services</t>
        </is>
      </c>
      <c r="I55" s="35" t="inlineStr">
        <is>
          <t>/wireframe/admin?screen=admin-manual-services</t>
        </is>
      </c>
      <c r="J55" s="35" t="inlineStr">
        <is>
          <t>Products &amp; packages → Manual service</t>
        </is>
      </c>
      <c r="K55" s="31" t="inlineStr">
        <is>
          <t>Luan</t>
        </is>
      </c>
      <c r="L55" s="36" t="inlineStr"/>
      <c r="M55" s="37" t="inlineStr"/>
      <c r="N55" s="36" t="inlineStr"/>
    </row>
    <row r="56" ht="28" customHeight="1">
      <c r="A56" s="26" t="n">
        <v>53</v>
      </c>
      <c r="B56" s="5" t="inlineStr">
        <is>
          <t>AD-SER-MAN-02</t>
        </is>
      </c>
      <c r="C56" s="51" t="inlineStr">
        <is>
          <t>Service</t>
        </is>
      </c>
      <c r="D56" s="51" t="inlineStr">
        <is>
          <t>Manual services</t>
        </is>
      </c>
      <c r="E56" s="5" t="inlineStr">
        <is>
          <t>Chi tiết task</t>
        </is>
      </c>
      <c r="F56" s="44" t="inlineStr">
        <is>
          <t>Trang chi tiết</t>
        </is>
      </c>
      <c r="G56" s="6" t="inlineStr">
        <is>
          <t>Vòng đời Requested → Scheduled → Delivered, kèm bằng chứng đã giao và SLA.</t>
        </is>
      </c>
      <c r="H56" s="6" t="inlineStr">
        <is>
          <t>admin-manual-services</t>
        </is>
      </c>
      <c r="I56" s="6" t="inlineStr">
        <is>
          <t>/wireframe/admin?screen=admin-manual-services</t>
        </is>
      </c>
      <c r="J56" s="6" t="inlineStr">
        <is>
          <t>Products &amp; packages → Manual service</t>
        </is>
      </c>
      <c r="K56" s="26" t="inlineStr">
        <is>
          <t>Luan</t>
        </is>
      </c>
      <c r="L56" s="29" t="inlineStr"/>
      <c r="M56" s="30" t="inlineStr"/>
      <c r="N56" s="29" t="inlineStr"/>
    </row>
    <row r="57" ht="28" customHeight="1">
      <c r="A57" s="31" t="n">
        <v>54</v>
      </c>
      <c r="B57" s="32" t="inlineStr">
        <is>
          <t>AD-USE-JOB-01</t>
        </is>
      </c>
      <c r="C57" s="55" t="inlineStr">
        <is>
          <t>User</t>
        </is>
      </c>
      <c r="D57" s="55" t="inlineStr">
        <is>
          <t>Jobseeker users</t>
        </is>
      </c>
      <c r="E57" s="32" t="inlineStr">
        <is>
          <t>All</t>
        </is>
      </c>
      <c r="F57" s="40" t="inlineStr">
        <is>
          <t>Tab trạng thái</t>
        </is>
      </c>
      <c r="G57" s="35" t="inlineStr">
        <is>
          <t>Toàn bộ tài khoản ứng viên.</t>
        </is>
      </c>
      <c r="H57" s="35" t="inlineStr">
        <is>
          <t>admin-jobseekers</t>
        </is>
      </c>
      <c r="I57" s="35" t="inlineStr">
        <is>
          <t>/wireframe/admin?screen=admin-jobseekers</t>
        </is>
      </c>
      <c r="J57" s="35" t="inlineStr">
        <is>
          <t>Job seeker user management → User management</t>
        </is>
      </c>
      <c r="K57" s="31" t="inlineStr">
        <is>
          <t>Luong</t>
        </is>
      </c>
      <c r="L57" s="36" t="inlineStr"/>
      <c r="M57" s="37" t="inlineStr"/>
      <c r="N57" s="36" t="inlineStr"/>
    </row>
    <row r="58" ht="28" customHeight="1">
      <c r="A58" s="26" t="n">
        <v>55</v>
      </c>
      <c r="B58" s="5" t="inlineStr">
        <is>
          <t>AD-USE-JOB-02</t>
        </is>
      </c>
      <c r="C58" s="56" t="inlineStr">
        <is>
          <t>User</t>
        </is>
      </c>
      <c r="D58" s="56" t="inlineStr">
        <is>
          <t>Jobseeker users</t>
        </is>
      </c>
      <c r="E58" s="5" t="inlineStr">
        <is>
          <t>Active</t>
        </is>
      </c>
      <c r="F58" s="42" t="inlineStr">
        <is>
          <t>Tab trạng thái</t>
        </is>
      </c>
      <c r="G58" s="6" t="inlineStr">
        <is>
          <t>Đã xác minh email, dùng được đầy đủ.</t>
        </is>
      </c>
      <c r="H58" s="6" t="inlineStr">
        <is>
          <t>admin-jobseekers</t>
        </is>
      </c>
      <c r="I58" s="6" t="inlineStr">
        <is>
          <t>/wireframe/admin?screen=admin-jobseekers</t>
        </is>
      </c>
      <c r="J58" s="6" t="inlineStr">
        <is>
          <t>Job seeker user management → User management</t>
        </is>
      </c>
      <c r="K58" s="26" t="inlineStr">
        <is>
          <t>Luong</t>
        </is>
      </c>
      <c r="L58" s="29" t="inlineStr"/>
      <c r="M58" s="30" t="inlineStr"/>
      <c r="N58" s="29" t="inlineStr"/>
    </row>
    <row r="59" ht="28" customHeight="1">
      <c r="A59" s="26" t="n">
        <v>56</v>
      </c>
      <c r="B59" s="5" t="inlineStr">
        <is>
          <t>AD-USE-JOB-03</t>
        </is>
      </c>
      <c r="C59" s="56" t="inlineStr">
        <is>
          <t>User</t>
        </is>
      </c>
      <c r="D59" s="56" t="inlineStr">
        <is>
          <t>Jobseeker users</t>
        </is>
      </c>
      <c r="E59" s="5" t="inlineStr">
        <is>
          <t>Unverified</t>
        </is>
      </c>
      <c r="F59" s="42" t="inlineStr">
        <is>
          <t>Tab trạng thái</t>
        </is>
      </c>
      <c r="G59" s="6" t="inlineStr">
        <is>
          <t>Đăng ký nhưng chưa xác minh email — duyệt được, không ứng tuyển được.</t>
        </is>
      </c>
      <c r="H59" s="6" t="inlineStr">
        <is>
          <t>admin-jobseekers</t>
        </is>
      </c>
      <c r="I59" s="6" t="inlineStr">
        <is>
          <t>/wireframe/admin?screen=admin-jobseekers</t>
        </is>
      </c>
      <c r="J59" s="6" t="inlineStr">
        <is>
          <t>Job seeker user management → User management</t>
        </is>
      </c>
      <c r="K59" s="26" t="inlineStr">
        <is>
          <t>Luong</t>
        </is>
      </c>
      <c r="L59" s="29" t="inlineStr"/>
      <c r="M59" s="30" t="inlineStr"/>
      <c r="N59" s="29" t="inlineStr"/>
    </row>
    <row r="60" ht="28" customHeight="1">
      <c r="A60" s="26" t="n">
        <v>57</v>
      </c>
      <c r="B60" s="5" t="inlineStr">
        <is>
          <t>AD-USE-JOB-04</t>
        </is>
      </c>
      <c r="C60" s="56" t="inlineStr">
        <is>
          <t>User</t>
        </is>
      </c>
      <c r="D60" s="56" t="inlineStr">
        <is>
          <t>Jobseeker users</t>
        </is>
      </c>
      <c r="E60" s="5" t="inlineStr">
        <is>
          <t>Deactivated</t>
        </is>
      </c>
      <c r="F60" s="42" t="inlineStr">
        <is>
          <t>Tab trạng thái</t>
        </is>
      </c>
      <c r="G60" s="6" t="inlineStr">
        <is>
          <t>Người dùng tự đóng tài khoản.</t>
        </is>
      </c>
      <c r="H60" s="6" t="inlineStr">
        <is>
          <t>admin-jobseekers</t>
        </is>
      </c>
      <c r="I60" s="6" t="inlineStr">
        <is>
          <t>/wireframe/admin?screen=admin-jobseekers</t>
        </is>
      </c>
      <c r="J60" s="6" t="inlineStr">
        <is>
          <t>Job seeker user management → User management</t>
        </is>
      </c>
      <c r="K60" s="26" t="inlineStr">
        <is>
          <t>Luong</t>
        </is>
      </c>
      <c r="L60" s="29" t="inlineStr"/>
      <c r="M60" s="30" t="inlineStr"/>
      <c r="N60" s="29" t="inlineStr"/>
    </row>
    <row r="61" ht="28" customHeight="1">
      <c r="A61" s="26" t="n">
        <v>58</v>
      </c>
      <c r="B61" s="5" t="inlineStr">
        <is>
          <t>AD-USE-JOB-05</t>
        </is>
      </c>
      <c r="C61" s="56" t="inlineStr">
        <is>
          <t>User</t>
        </is>
      </c>
      <c r="D61" s="56" t="inlineStr">
        <is>
          <t>Jobseeker users</t>
        </is>
      </c>
      <c r="E61" s="5" t="inlineStr">
        <is>
          <t>Withdrawn</t>
        </is>
      </c>
      <c r="F61" s="42" t="inlineStr">
        <is>
          <t>Tab trạng thái</t>
        </is>
      </c>
      <c r="G61" s="6" t="inlineStr">
        <is>
          <t>Đã rút khỏi hệ thống.</t>
        </is>
      </c>
      <c r="H61" s="6" t="inlineStr">
        <is>
          <t>admin-jobseekers</t>
        </is>
      </c>
      <c r="I61" s="6" t="inlineStr">
        <is>
          <t>/wireframe/admin?screen=admin-jobseekers</t>
        </is>
      </c>
      <c r="J61" s="6" t="inlineStr">
        <is>
          <t>Job seeker user management → User management</t>
        </is>
      </c>
      <c r="K61" s="26" t="inlineStr">
        <is>
          <t>Luong</t>
        </is>
      </c>
      <c r="L61" s="29" t="inlineStr"/>
      <c r="M61" s="30" t="inlineStr"/>
      <c r="N61" s="29" t="inlineStr"/>
    </row>
    <row r="62" ht="28" customHeight="1">
      <c r="A62" s="26" t="n">
        <v>59</v>
      </c>
      <c r="B62" s="5" t="inlineStr">
        <is>
          <t>AD-USE-JOB-06</t>
        </is>
      </c>
      <c r="C62" s="56" t="inlineStr">
        <is>
          <t>User</t>
        </is>
      </c>
      <c r="D62" s="56" t="inlineStr">
        <is>
          <t>Jobseeker users</t>
        </is>
      </c>
      <c r="E62" s="5" t="inlineStr">
        <is>
          <t>Bộ lọc + bảng</t>
        </is>
      </c>
      <c r="F62" s="38" t="inlineStr">
        <is>
          <t>Bảng danh sách</t>
        </is>
      </c>
      <c r="G62" s="6" t="inlineStr">
        <is>
          <t>Search (tên/email/phone) · status · signup method · hasCV/visibility · ngày đăng ký · lần đăng nhập cuối.</t>
        </is>
      </c>
      <c r="H62" s="6" t="inlineStr">
        <is>
          <t>admin-jobseekers</t>
        </is>
      </c>
      <c r="I62" s="6" t="inlineStr">
        <is>
          <t>/wireframe/admin?screen=admin-jobseekers</t>
        </is>
      </c>
      <c r="J62" s="6" t="inlineStr">
        <is>
          <t>Job seeker user management → User management</t>
        </is>
      </c>
      <c r="K62" s="26" t="inlineStr">
        <is>
          <t>Luong</t>
        </is>
      </c>
      <c r="L62" s="29" t="inlineStr"/>
      <c r="M62" s="30" t="inlineStr"/>
      <c r="N62" s="29" t="inlineStr"/>
    </row>
    <row r="63" ht="28" customHeight="1">
      <c r="A63" s="26" t="n">
        <v>60</v>
      </c>
      <c r="B63" s="5" t="inlineStr">
        <is>
          <t>AD-USE-JOB-07</t>
        </is>
      </c>
      <c r="C63" s="56" t="inlineStr">
        <is>
          <t>User</t>
        </is>
      </c>
      <c r="D63" s="56" t="inlineStr">
        <is>
          <t>Jobseeker users</t>
        </is>
      </c>
      <c r="E63" s="5" t="inlineStr">
        <is>
          <t>Detail — profile summary</t>
        </is>
      </c>
      <c r="F63" s="28" t="inlineStr">
        <is>
          <t>Khối / Section</t>
        </is>
      </c>
      <c r="G63" s="6" t="inlineStr">
        <is>
          <t>Thông tin cơ bản, liên hệ ở dạng che; bỏ che là hành động có audit.</t>
        </is>
      </c>
      <c r="H63" s="6" t="inlineStr">
        <is>
          <t>admin-jobseekers</t>
        </is>
      </c>
      <c r="I63" s="6" t="inlineStr">
        <is>
          <t>/wireframe/admin?screen=admin-jobseekers</t>
        </is>
      </c>
      <c r="J63" s="6" t="inlineStr">
        <is>
          <t>Job seeker user management → User management</t>
        </is>
      </c>
      <c r="K63" s="26" t="inlineStr">
        <is>
          <t>Luong</t>
        </is>
      </c>
      <c r="L63" s="29" t="inlineStr"/>
      <c r="M63" s="30" t="inlineStr"/>
      <c r="N63" s="29" t="inlineStr"/>
    </row>
    <row r="64" ht="28" customHeight="1">
      <c r="A64" s="26" t="n">
        <v>61</v>
      </c>
      <c r="B64" s="5" t="inlineStr">
        <is>
          <t>AD-USE-JOB-08</t>
        </is>
      </c>
      <c r="C64" s="56" t="inlineStr">
        <is>
          <t>User</t>
        </is>
      </c>
      <c r="D64" s="56" t="inlineStr">
        <is>
          <t>Jobseeker users</t>
        </is>
      </c>
      <c r="E64" s="5" t="inlineStr">
        <is>
          <t>Detail — CVs</t>
        </is>
      </c>
      <c r="F64" s="28" t="inlineStr">
        <is>
          <t>Khối / Section</t>
        </is>
      </c>
      <c r="G64" s="6" t="inlineStr">
        <is>
          <t>Danh sách CV + lần cập nhật cuối. Mở CV ghi audit.</t>
        </is>
      </c>
      <c r="H64" s="6" t="inlineStr">
        <is>
          <t>admin-jobseekers</t>
        </is>
      </c>
      <c r="I64" s="6" t="inlineStr">
        <is>
          <t>/wireframe/admin?screen=admin-jobseekers</t>
        </is>
      </c>
      <c r="J64" s="6" t="inlineStr">
        <is>
          <t>Job seeker user management → User management</t>
        </is>
      </c>
      <c r="K64" s="26" t="inlineStr">
        <is>
          <t>Luong</t>
        </is>
      </c>
      <c r="L64" s="29" t="inlineStr"/>
      <c r="M64" s="30" t="inlineStr"/>
      <c r="N64" s="29" t="inlineStr"/>
    </row>
    <row r="65" ht="28" customHeight="1">
      <c r="A65" s="26" t="n">
        <v>62</v>
      </c>
      <c r="B65" s="5" t="inlineStr">
        <is>
          <t>AD-USE-JOB-09</t>
        </is>
      </c>
      <c r="C65" s="56" t="inlineStr">
        <is>
          <t>User</t>
        </is>
      </c>
      <c r="D65" s="56" t="inlineStr">
        <is>
          <t>Jobseeker users</t>
        </is>
      </c>
      <c r="E65" s="5" t="inlineStr">
        <is>
          <t>Detail — applications</t>
        </is>
      </c>
      <c r="F65" s="28" t="inlineStr">
        <is>
          <t>Khối / Section</t>
        </is>
      </c>
      <c r="G65" s="6" t="inlineStr">
        <is>
          <t>Các tin đã ứng tuyển và stage hiện tại — chỉ đọc.</t>
        </is>
      </c>
      <c r="H65" s="6" t="inlineStr">
        <is>
          <t>admin-jobseekers</t>
        </is>
      </c>
      <c r="I65" s="6" t="inlineStr">
        <is>
          <t>/wireframe/admin?screen=admin-jobseekers</t>
        </is>
      </c>
      <c r="J65" s="6" t="inlineStr">
        <is>
          <t>Job seeker user management → User management</t>
        </is>
      </c>
      <c r="K65" s="26" t="inlineStr">
        <is>
          <t>Luong</t>
        </is>
      </c>
      <c r="L65" s="29" t="inlineStr"/>
      <c r="M65" s="30" t="inlineStr"/>
      <c r="N65" s="29" t="inlineStr"/>
    </row>
    <row r="66" ht="28" customHeight="1">
      <c r="A66" s="26" t="n">
        <v>63</v>
      </c>
      <c r="B66" s="5" t="inlineStr">
        <is>
          <t>AD-USE-JOB-10</t>
        </is>
      </c>
      <c r="C66" s="56" t="inlineStr">
        <is>
          <t>User</t>
        </is>
      </c>
      <c r="D66" s="56" t="inlineStr">
        <is>
          <t>Jobseeker users</t>
        </is>
      </c>
      <c r="E66" s="5" t="inlineStr">
        <is>
          <t>Detail — activity timeline</t>
        </is>
      </c>
      <c r="F66" s="28" t="inlineStr">
        <is>
          <t>Khối / Section</t>
        </is>
      </c>
      <c r="G66" s="6" t="inlineStr">
        <is>
          <t>Đăng ký, xác minh, đổi trạng thái, reset mật khẩu, ai đã xem PII.</t>
        </is>
      </c>
      <c r="H66" s="6" t="inlineStr">
        <is>
          <t>admin-jobseekers</t>
        </is>
      </c>
      <c r="I66" s="6" t="inlineStr">
        <is>
          <t>/wireframe/admin?screen=admin-jobseekers</t>
        </is>
      </c>
      <c r="J66" s="6" t="inlineStr">
        <is>
          <t>Job seeker user management → User management</t>
        </is>
      </c>
      <c r="K66" s="26" t="inlineStr">
        <is>
          <t>Luong</t>
        </is>
      </c>
      <c r="L66" s="29" t="inlineStr"/>
      <c r="M66" s="30" t="inlineStr"/>
      <c r="N66" s="29" t="inlineStr"/>
    </row>
    <row r="67" ht="28" customHeight="1">
      <c r="A67" s="26" t="n">
        <v>64</v>
      </c>
      <c r="B67" s="5" t="inlineStr">
        <is>
          <t>AD-USE-JOB-11</t>
        </is>
      </c>
      <c r="C67" s="56" t="inlineStr">
        <is>
          <t>User</t>
        </is>
      </c>
      <c r="D67" s="56" t="inlineStr">
        <is>
          <t>Jobseeker users</t>
        </is>
      </c>
      <c r="E67" s="5" t="inlineStr">
        <is>
          <t>Detail — actions</t>
        </is>
      </c>
      <c r="F67" s="45" t="inlineStr">
        <is>
          <t>Hành động</t>
        </is>
      </c>
      <c r="G67" s="6" t="inlineStr">
        <is>
          <t>Suspend (bắt buộc lý do) · Reinstate · Resend verification · Send password reset. Không bao giờ có “xem/đặt mật khẩu”.</t>
        </is>
      </c>
      <c r="H67" s="6" t="inlineStr">
        <is>
          <t>admin-jobseekers</t>
        </is>
      </c>
      <c r="I67" s="6" t="inlineStr">
        <is>
          <t>/wireframe/admin?screen=admin-jobseekers</t>
        </is>
      </c>
      <c r="J67" s="6" t="inlineStr">
        <is>
          <t>Job seeker user management → User management</t>
        </is>
      </c>
      <c r="K67" s="26" t="inlineStr">
        <is>
          <t>Luong</t>
        </is>
      </c>
      <c r="L67" s="29" t="inlineStr"/>
      <c r="M67" s="30" t="inlineStr"/>
      <c r="N67" s="29" t="inlineStr"/>
    </row>
    <row r="68" ht="28" customHeight="1">
      <c r="A68" s="31" t="n">
        <v>65</v>
      </c>
      <c r="B68" s="32" t="inlineStr">
        <is>
          <t>AD-USE-COM-01</t>
        </is>
      </c>
      <c r="C68" s="55" t="inlineStr">
        <is>
          <t>User</t>
        </is>
      </c>
      <c r="D68" s="55" t="inlineStr">
        <is>
          <t>Company users</t>
        </is>
      </c>
      <c r="E68" s="32" t="inlineStr">
        <is>
          <t>All users</t>
        </is>
      </c>
      <c r="F68" s="40" t="inlineStr">
        <is>
          <t>Tab trạng thái</t>
        </is>
      </c>
      <c r="G68" s="35" t="inlineStr">
        <is>
          <t>Toàn bộ tài khoản phía nhà tuyển dụng.</t>
        </is>
      </c>
      <c r="H68" s="35" t="inlineStr">
        <is>
          <t>admin-company-users</t>
        </is>
      </c>
      <c r="I68" s="35" t="inlineStr">
        <is>
          <t>/wireframe/admin?screen=admin-company-users</t>
        </is>
      </c>
      <c r="J68" s="35" t="inlineStr">
        <is>
          <t>Account management → Company users (on Admin)</t>
        </is>
      </c>
      <c r="K68" s="31" t="inlineStr">
        <is>
          <t>Luong</t>
        </is>
      </c>
      <c r="L68" s="36" t="inlineStr"/>
      <c r="M68" s="37" t="inlineStr"/>
      <c r="N68" s="36" t="inlineStr"/>
    </row>
    <row r="69" ht="28" customHeight="1">
      <c r="A69" s="26" t="n">
        <v>66</v>
      </c>
      <c r="B69" s="5" t="inlineStr">
        <is>
          <t>AD-USE-COM-02</t>
        </is>
      </c>
      <c r="C69" s="56" t="inlineStr">
        <is>
          <t>User</t>
        </is>
      </c>
      <c r="D69" s="56" t="inlineStr">
        <is>
          <t>Company users</t>
        </is>
      </c>
      <c r="E69" s="5" t="inlineStr">
        <is>
          <t>Active</t>
        </is>
      </c>
      <c r="F69" s="42" t="inlineStr">
        <is>
          <t>Tab trạng thái</t>
        </is>
      </c>
      <c r="G69" s="6" t="inlineStr">
        <is>
          <t>Đang hoạt động.</t>
        </is>
      </c>
      <c r="H69" s="6" t="inlineStr">
        <is>
          <t>admin-company-users</t>
        </is>
      </c>
      <c r="I69" s="6" t="inlineStr">
        <is>
          <t>/wireframe/admin?screen=admin-company-users</t>
        </is>
      </c>
      <c r="J69" s="6" t="inlineStr">
        <is>
          <t>Account management → Company users (on Admin)</t>
        </is>
      </c>
      <c r="K69" s="26" t="inlineStr">
        <is>
          <t>Luong</t>
        </is>
      </c>
      <c r="L69" s="29" t="inlineStr"/>
      <c r="M69" s="30" t="inlineStr"/>
      <c r="N69" s="29" t="inlineStr"/>
    </row>
    <row r="70" ht="28" customHeight="1">
      <c r="A70" s="26" t="n">
        <v>67</v>
      </c>
      <c r="B70" s="5" t="inlineStr">
        <is>
          <t>AD-USE-COM-03</t>
        </is>
      </c>
      <c r="C70" s="56" t="inlineStr">
        <is>
          <t>User</t>
        </is>
      </c>
      <c r="D70" s="56" t="inlineStr">
        <is>
          <t>Company users</t>
        </is>
      </c>
      <c r="E70" s="5" t="inlineStr">
        <is>
          <t>Invited</t>
        </is>
      </c>
      <c r="F70" s="42" t="inlineStr">
        <is>
          <t>Tab trạng thái</t>
        </is>
      </c>
      <c r="G70" s="6" t="inlineStr">
        <is>
          <t>Đã mời, chưa kích hoạt.</t>
        </is>
      </c>
      <c r="H70" s="6" t="inlineStr">
        <is>
          <t>admin-company-users</t>
        </is>
      </c>
      <c r="I70" s="6" t="inlineStr">
        <is>
          <t>/wireframe/admin?screen=admin-company-users</t>
        </is>
      </c>
      <c r="J70" s="6" t="inlineStr">
        <is>
          <t>Account management → Company users (on Admin)</t>
        </is>
      </c>
      <c r="K70" s="26" t="inlineStr">
        <is>
          <t>Luong</t>
        </is>
      </c>
      <c r="L70" s="29" t="inlineStr"/>
      <c r="M70" s="30" t="inlineStr"/>
      <c r="N70" s="29" t="inlineStr"/>
    </row>
    <row r="71" ht="28" customHeight="1">
      <c r="A71" s="26" t="n">
        <v>68</v>
      </c>
      <c r="B71" s="5" t="inlineStr">
        <is>
          <t>AD-USE-COM-04</t>
        </is>
      </c>
      <c r="C71" s="56" t="inlineStr">
        <is>
          <t>User</t>
        </is>
      </c>
      <c r="D71" s="56" t="inlineStr">
        <is>
          <t>Company users</t>
        </is>
      </c>
      <c r="E71" s="5" t="inlineStr">
        <is>
          <t>Disabled</t>
        </is>
      </c>
      <c r="F71" s="42" t="inlineStr">
        <is>
          <t>Tab trạng thái</t>
        </is>
      </c>
      <c r="G71" s="6" t="inlineStr">
        <is>
          <t>Đã khoá.</t>
        </is>
      </c>
      <c r="H71" s="6" t="inlineStr">
        <is>
          <t>admin-company-users</t>
        </is>
      </c>
      <c r="I71" s="6" t="inlineStr">
        <is>
          <t>/wireframe/admin?screen=admin-company-users</t>
        </is>
      </c>
      <c r="J71" s="6" t="inlineStr">
        <is>
          <t>Account management → Company users (on Admin)</t>
        </is>
      </c>
      <c r="K71" s="26" t="inlineStr">
        <is>
          <t>Luong</t>
        </is>
      </c>
      <c r="L71" s="29" t="inlineStr"/>
      <c r="M71" s="30" t="inlineStr"/>
      <c r="N71" s="29" t="inlineStr"/>
    </row>
    <row r="72" ht="28" customHeight="1">
      <c r="A72" s="26" t="n">
        <v>69</v>
      </c>
      <c r="B72" s="5" t="inlineStr">
        <is>
          <t>AD-USE-COM-05</t>
        </is>
      </c>
      <c r="C72" s="56" t="inlineStr">
        <is>
          <t>User</t>
        </is>
      </c>
      <c r="D72" s="56" t="inlineStr">
        <is>
          <t>Company users</t>
        </is>
      </c>
      <c r="E72" s="5" t="inlineStr">
        <is>
          <t>Bảng + search all columns</t>
        </is>
      </c>
      <c r="F72" s="38" t="inlineStr">
        <is>
          <t>Bảng danh sách</t>
        </is>
      </c>
      <c r="G72" s="6" t="inlineStr">
        <is>
          <t>User · email · công ty · role · lần đăng nhập cuối.</t>
        </is>
      </c>
      <c r="H72" s="6" t="inlineStr">
        <is>
          <t>admin-company-users</t>
        </is>
      </c>
      <c r="I72" s="6" t="inlineStr">
        <is>
          <t>/wireframe/admin?screen=admin-company-users</t>
        </is>
      </c>
      <c r="J72" s="6" t="inlineStr">
        <is>
          <t>Account management → Company users (on Admin)</t>
        </is>
      </c>
      <c r="K72" s="26" t="inlineStr">
        <is>
          <t>Luong</t>
        </is>
      </c>
      <c r="L72" s="29" t="inlineStr"/>
      <c r="M72" s="30" t="inlineStr"/>
      <c r="N72" s="29" t="inlineStr"/>
    </row>
    <row r="73" ht="28" customHeight="1">
      <c r="A73" s="26" t="n">
        <v>70</v>
      </c>
      <c r="B73" s="5" t="inlineStr">
        <is>
          <t>AD-USE-COM-06</t>
        </is>
      </c>
      <c r="C73" s="56" t="inlineStr">
        <is>
          <t>User</t>
        </is>
      </c>
      <c r="D73" s="56" t="inlineStr">
        <is>
          <t>Company users</t>
        </is>
      </c>
      <c r="E73" s="5" t="inlineStr">
        <is>
          <t>Detail — role &amp; company</t>
        </is>
      </c>
      <c r="F73" s="44" t="inlineStr">
        <is>
          <t>Trang chi tiết</t>
        </is>
      </c>
      <c r="G73" s="6" t="inlineStr">
        <is>
          <t>Mỗi user thuộc đúng một công ty và một role; Admin của công ty không bị xoá.</t>
        </is>
      </c>
      <c r="H73" s="6" t="inlineStr">
        <is>
          <t>admin-company-users</t>
        </is>
      </c>
      <c r="I73" s="6" t="inlineStr">
        <is>
          <t>/wireframe/admin?screen=admin-company-users</t>
        </is>
      </c>
      <c r="J73" s="6" t="inlineStr">
        <is>
          <t>Account management → Company users (on Admin)</t>
        </is>
      </c>
      <c r="K73" s="26" t="inlineStr">
        <is>
          <t>Luong</t>
        </is>
      </c>
      <c r="L73" s="29" t="inlineStr"/>
      <c r="M73" s="30" t="inlineStr"/>
      <c r="N73" s="29" t="inlineStr"/>
    </row>
    <row r="74" ht="28" customHeight="1">
      <c r="A74" s="31" t="n">
        <v>71</v>
      </c>
      <c r="B74" s="32" t="inlineStr">
        <is>
          <t>AD-CRM-COM-01</t>
        </is>
      </c>
      <c r="C74" s="57" t="inlineStr">
        <is>
          <t>CRM</t>
        </is>
      </c>
      <c r="D74" s="57" t="inlineStr">
        <is>
          <t>Companies</t>
        </is>
      </c>
      <c r="E74" s="32" t="inlineStr">
        <is>
          <t>Bộ lọc + view switcher</t>
        </is>
      </c>
      <c r="F74" s="48" t="inlineStr">
        <is>
          <t>Bộ lọc</t>
        </is>
      </c>
      <c r="G74" s="35" t="inlineStr">
        <is>
          <t>Lọc theo trạng thái khách hàng, pipeline, owner, ngành, khu vực; chuyển list / grid.</t>
        </is>
      </c>
      <c r="H74" s="35" t="inlineStr">
        <is>
          <t>admin-company-list</t>
        </is>
      </c>
      <c r="I74" s="35" t="inlineStr">
        <is>
          <t>/wireframe/admin?screen=admin-company-list</t>
        </is>
      </c>
      <c r="J74" s="35" t="inlineStr">
        <is>
          <t>CRM → Companies</t>
        </is>
      </c>
      <c r="K74" s="31" t="inlineStr">
        <is>
          <t>Luan</t>
        </is>
      </c>
      <c r="L74" s="36" t="inlineStr"/>
      <c r="M74" s="37" t="inlineStr"/>
      <c r="N74" s="36" t="inlineStr"/>
    </row>
    <row r="75" ht="40.5" customHeight="1">
      <c r="A75" s="26" t="n">
        <v>72</v>
      </c>
      <c r="B75" s="5" t="inlineStr">
        <is>
          <t>AD-CRM-COM-02</t>
        </is>
      </c>
      <c r="C75" s="58" t="inlineStr">
        <is>
          <t>CRM</t>
        </is>
      </c>
      <c r="D75" s="58" t="inlineStr">
        <is>
          <t>Companies</t>
        </is>
      </c>
      <c r="E75" s="5" t="inlineStr">
        <is>
          <t>Bảng danh sách</t>
        </is>
      </c>
      <c r="F75" s="38" t="inlineStr">
        <is>
          <t>Bảng danh sách</t>
        </is>
      </c>
      <c r="G75" s="6" t="inlineStr">
        <is>
          <t>Company · Company ID · Industry · Location · Status · Tier · Pipeline · Owner · Last contact · Latest note · Total revenue · Latest revenue.</t>
        </is>
      </c>
      <c r="H75" s="6" t="inlineStr">
        <is>
          <t>admin-company-list</t>
        </is>
      </c>
      <c r="I75" s="6" t="inlineStr">
        <is>
          <t>/wireframe/admin?screen=admin-company-list</t>
        </is>
      </c>
      <c r="J75" s="6" t="inlineStr">
        <is>
          <t>CRM → Companies</t>
        </is>
      </c>
      <c r="K75" s="26" t="inlineStr">
        <is>
          <t>Luan</t>
        </is>
      </c>
      <c r="L75" s="29" t="inlineStr"/>
      <c r="M75" s="30" t="inlineStr"/>
      <c r="N75" s="29" t="inlineStr"/>
    </row>
    <row r="76" ht="28" customHeight="1">
      <c r="A76" s="26" t="n">
        <v>73</v>
      </c>
      <c r="B76" s="5" t="inlineStr">
        <is>
          <t>AD-CRM-COM-03</t>
        </is>
      </c>
      <c r="C76" s="58" t="inlineStr">
        <is>
          <t>CRM</t>
        </is>
      </c>
      <c r="D76" s="58" t="inlineStr">
        <is>
          <t>Companies</t>
        </is>
      </c>
      <c r="E76" s="5" t="inlineStr">
        <is>
          <t>Global search (⌘K)</t>
        </is>
      </c>
      <c r="F76" s="28" t="inlineStr">
        <is>
          <t>Khối / Section</t>
        </is>
      </c>
      <c r="G76" s="6" t="inlineStr">
        <is>
          <t>Ô tìm công ty trên thanh trên cùng, có ở mọi trang. Tìm cả công ty của rep khác — đây là thứ chặn tạo trùng.</t>
        </is>
      </c>
      <c r="H76" s="6" t="inlineStr">
        <is>
          <t>admin-company-list</t>
        </is>
      </c>
      <c r="I76" s="6" t="inlineStr">
        <is>
          <t>/wireframe/admin?screen=admin-company-list</t>
        </is>
      </c>
      <c r="J76" s="6" t="inlineStr">
        <is>
          <t>CRM → Companies</t>
        </is>
      </c>
      <c r="K76" s="26" t="inlineStr">
        <is>
          <t>Luan</t>
        </is>
      </c>
      <c r="L76" s="29" t="inlineStr"/>
      <c r="M76" s="30" t="inlineStr"/>
      <c r="N76" s="29" t="inlineStr"/>
    </row>
    <row r="77" ht="40.5" customHeight="1">
      <c r="A77" s="26" t="n">
        <v>74</v>
      </c>
      <c r="B77" s="5" t="inlineStr">
        <is>
          <t>AD-CRM-COM-04</t>
        </is>
      </c>
      <c r="C77" s="58" t="inlineStr">
        <is>
          <t>CRM</t>
        </is>
      </c>
      <c r="D77" s="58" t="inlineStr">
        <is>
          <t>Companies</t>
        </is>
      </c>
      <c r="E77" s="5" t="inlineStr">
        <is>
          <t>Company detail — header</t>
        </is>
      </c>
      <c r="F77" s="28" t="inlineStr">
        <is>
          <t>Khối / Section</t>
        </is>
      </c>
      <c r="G77" s="6" t="inlineStr">
        <is>
          <t>Tên · CO-ID · MST · website, trạng thái khách hàng + pipeline, và 7 thẻ: Hạng, Customer since, Open jobs, Team, Job quota, CV unlocks, Sales owner.</t>
        </is>
      </c>
      <c r="H77" s="6" t="inlineStr">
        <is>
          <t>admin-company-list</t>
        </is>
      </c>
      <c r="I77" s="6" t="inlineStr">
        <is>
          <t>/wireframe/admin?screen=admin-company-list</t>
        </is>
      </c>
      <c r="J77" s="6" t="inlineStr">
        <is>
          <t>CRM → Companies</t>
        </is>
      </c>
      <c r="K77" s="26" t="inlineStr">
        <is>
          <t>Luan</t>
        </is>
      </c>
      <c r="L77" s="29" t="inlineStr"/>
      <c r="M77" s="30" t="inlineStr"/>
      <c r="N77" s="29" t="inlineStr"/>
    </row>
    <row r="78" ht="28" customHeight="1">
      <c r="A78" s="26" t="n">
        <v>75</v>
      </c>
      <c r="B78" s="5" t="inlineStr">
        <is>
          <t>AD-CRM-COM-05</t>
        </is>
      </c>
      <c r="C78" s="58" t="inlineStr">
        <is>
          <t>CRM</t>
        </is>
      </c>
      <c r="D78" s="58" t="inlineStr">
        <is>
          <t>Companies</t>
        </is>
      </c>
      <c r="E78" s="5" t="inlineStr">
        <is>
          <t>Tab Overview</t>
        </is>
      </c>
      <c r="F78" s="52" t="inlineStr">
        <is>
          <t>Tab</t>
        </is>
      </c>
      <c r="G78" s="6" t="inlineStr">
        <is>
          <t>Họ là ai (Basic info từ CRM) + mọi việc đã làm với họ (activity).</t>
        </is>
      </c>
      <c r="H78" s="6" t="inlineStr">
        <is>
          <t>admin-company-list</t>
        </is>
      </c>
      <c r="I78" s="6" t="inlineStr">
        <is>
          <t>/wireframe/admin?screen=admin-company-list</t>
        </is>
      </c>
      <c r="J78" s="6" t="inlineStr">
        <is>
          <t>CRM → Companies</t>
        </is>
      </c>
      <c r="K78" s="26" t="inlineStr">
        <is>
          <t>Luan</t>
        </is>
      </c>
      <c r="L78" s="29" t="inlineStr"/>
      <c r="M78" s="30" t="inlineStr"/>
      <c r="N78" s="29" t="inlineStr"/>
    </row>
    <row r="79" ht="28" customHeight="1">
      <c r="A79" s="26" t="n">
        <v>76</v>
      </c>
      <c r="B79" s="5" t="inlineStr">
        <is>
          <t>AD-CRM-COM-06</t>
        </is>
      </c>
      <c r="C79" s="58" t="inlineStr">
        <is>
          <t>CRM</t>
        </is>
      </c>
      <c r="D79" s="58" t="inlineStr">
        <is>
          <t>Companies</t>
        </is>
      </c>
      <c r="E79" s="5" t="inlineStr">
        <is>
          <t>Tab Contacts</t>
        </is>
      </c>
      <c r="F79" s="52" t="inlineStr">
        <is>
          <t>Tab</t>
        </is>
      </c>
      <c r="G79" s="6" t="inlineStr">
        <is>
          <t>Danh sách người liên hệ của công ty, kèm số lượng trên tab.</t>
        </is>
      </c>
      <c r="H79" s="6" t="inlineStr">
        <is>
          <t>admin-company-list</t>
        </is>
      </c>
      <c r="I79" s="6" t="inlineStr">
        <is>
          <t>/wireframe/admin?screen=admin-company-list</t>
        </is>
      </c>
      <c r="J79" s="6" t="inlineStr">
        <is>
          <t>CRM → Companies</t>
        </is>
      </c>
      <c r="K79" s="26" t="inlineStr">
        <is>
          <t>Luan</t>
        </is>
      </c>
      <c r="L79" s="29" t="inlineStr"/>
      <c r="M79" s="30" t="inlineStr"/>
      <c r="N79" s="29" t="inlineStr"/>
    </row>
    <row r="80" ht="28" customHeight="1">
      <c r="A80" s="26" t="n">
        <v>77</v>
      </c>
      <c r="B80" s="5" t="inlineStr">
        <is>
          <t>AD-CRM-COM-07</t>
        </is>
      </c>
      <c r="C80" s="58" t="inlineStr">
        <is>
          <t>CRM</t>
        </is>
      </c>
      <c r="D80" s="58" t="inlineStr">
        <is>
          <t>Companies</t>
        </is>
      </c>
      <c r="E80" s="5" t="inlineStr">
        <is>
          <t>Tab Users</t>
        </is>
      </c>
      <c r="F80" s="52" t="inlineStr">
        <is>
          <t>Tab</t>
        </is>
      </c>
      <c r="G80" s="6" t="inlineStr">
        <is>
          <t>Các tài khoản đăng nhập phía công ty và số ghế đã dùng.</t>
        </is>
      </c>
      <c r="H80" s="6" t="inlineStr">
        <is>
          <t>admin-company-list</t>
        </is>
      </c>
      <c r="I80" s="6" t="inlineStr">
        <is>
          <t>/wireframe/admin?screen=admin-company-list</t>
        </is>
      </c>
      <c r="J80" s="6" t="inlineStr">
        <is>
          <t>CRM → Companies</t>
        </is>
      </c>
      <c r="K80" s="26" t="inlineStr">
        <is>
          <t>Luan</t>
        </is>
      </c>
      <c r="L80" s="29" t="inlineStr"/>
      <c r="M80" s="30" t="inlineStr"/>
      <c r="N80" s="29" t="inlineStr"/>
    </row>
    <row r="81" ht="28" customHeight="1">
      <c r="A81" s="26" t="n">
        <v>78</v>
      </c>
      <c r="B81" s="5" t="inlineStr">
        <is>
          <t>AD-CRM-COM-08</t>
        </is>
      </c>
      <c r="C81" s="58" t="inlineStr">
        <is>
          <t>CRM</t>
        </is>
      </c>
      <c r="D81" s="58" t="inlineStr">
        <is>
          <t>Companies</t>
        </is>
      </c>
      <c r="E81" s="5" t="inlineStr">
        <is>
          <t>Tab Products &amp; billing</t>
        </is>
      </c>
      <c r="F81" s="52" t="inlineStr">
        <is>
          <t>Tab</t>
        </is>
      </c>
      <c r="G81" s="6" t="inlineStr">
        <is>
          <t>Đã mua gì và còn bao nhiêu quota — chỉ có sau khi xuất hoá đơn.</t>
        </is>
      </c>
      <c r="H81" s="6" t="inlineStr">
        <is>
          <t>admin-company-list</t>
        </is>
      </c>
      <c r="I81" s="6" t="inlineStr">
        <is>
          <t>/wireframe/admin?screen=admin-company-list</t>
        </is>
      </c>
      <c r="J81" s="6" t="inlineStr">
        <is>
          <t>CRM → Companies</t>
        </is>
      </c>
      <c r="K81" s="26" t="inlineStr">
        <is>
          <t>Luan</t>
        </is>
      </c>
      <c r="L81" s="29" t="inlineStr"/>
      <c r="M81" s="30" t="inlineStr"/>
      <c r="N81" s="29" t="inlineStr"/>
    </row>
    <row r="82" ht="28" customHeight="1">
      <c r="A82" s="26" t="n">
        <v>79</v>
      </c>
      <c r="B82" s="5" t="inlineStr">
        <is>
          <t>AD-CRM-COM-09</t>
        </is>
      </c>
      <c r="C82" s="58" t="inlineStr">
        <is>
          <t>CRM</t>
        </is>
      </c>
      <c r="D82" s="58" t="inlineStr">
        <is>
          <t>Companies</t>
        </is>
      </c>
      <c r="E82" s="5" t="inlineStr">
        <is>
          <t>Tab Company page</t>
        </is>
      </c>
      <c r="F82" s="52" t="inlineStr">
        <is>
          <t>Tab</t>
        </is>
      </c>
      <c r="G82" s="6" t="inlineStr">
        <is>
          <t>Trang công ty công khai trên site jobseeker: editor + preview bản nháp.</t>
        </is>
      </c>
      <c r="H82" s="6" t="inlineStr">
        <is>
          <t>admin-company-list</t>
        </is>
      </c>
      <c r="I82" s="6" t="inlineStr">
        <is>
          <t>/wireframe/admin?screen=admin-company-list</t>
        </is>
      </c>
      <c r="J82" s="6" t="inlineStr">
        <is>
          <t>CRM → Companies</t>
        </is>
      </c>
      <c r="K82" s="26" t="inlineStr">
        <is>
          <t>Luan</t>
        </is>
      </c>
      <c r="L82" s="29" t="inlineStr"/>
      <c r="M82" s="30" t="inlineStr"/>
      <c r="N82" s="29" t="inlineStr"/>
    </row>
    <row r="83" ht="28" customHeight="1">
      <c r="A83" s="26" t="n">
        <v>80</v>
      </c>
      <c r="B83" s="5" t="inlineStr">
        <is>
          <t>AD-CRM-COM-10</t>
        </is>
      </c>
      <c r="C83" s="58" t="inlineStr">
        <is>
          <t>CRM</t>
        </is>
      </c>
      <c r="D83" s="58" t="inlineStr">
        <is>
          <t>Companies</t>
        </is>
      </c>
      <c r="E83" s="5" t="inlineStr">
        <is>
          <t>Tab Jobs</t>
        </is>
      </c>
      <c r="F83" s="52" t="inlineStr">
        <is>
          <t>Tab</t>
        </is>
      </c>
      <c r="G83" s="6" t="inlineStr">
        <is>
          <t>Tin đăng của công ty này (chỉ hiện với khách hàng Job Posting).</t>
        </is>
      </c>
      <c r="H83" s="6" t="inlineStr">
        <is>
          <t>admin-company-list</t>
        </is>
      </c>
      <c r="I83" s="6" t="inlineStr">
        <is>
          <t>/wireframe/admin?screen=admin-company-list</t>
        </is>
      </c>
      <c r="J83" s="6" t="inlineStr">
        <is>
          <t>CRM → Companies</t>
        </is>
      </c>
      <c r="K83" s="26" t="inlineStr">
        <is>
          <t>Luan</t>
        </is>
      </c>
      <c r="L83" s="29" t="inlineStr"/>
      <c r="M83" s="30" t="inlineStr"/>
      <c r="N83" s="29" t="inlineStr"/>
    </row>
    <row r="84" ht="28" customHeight="1">
      <c r="A84" s="26" t="n">
        <v>81</v>
      </c>
      <c r="B84" s="5" t="inlineStr">
        <is>
          <t>AD-CRM-COM-11</t>
        </is>
      </c>
      <c r="C84" s="58" t="inlineStr">
        <is>
          <t>CRM</t>
        </is>
      </c>
      <c r="D84" s="58" t="inlineStr">
        <is>
          <t>Companies</t>
        </is>
      </c>
      <c r="E84" s="5" t="inlineStr">
        <is>
          <t>Tab Applications</t>
        </is>
      </c>
      <c r="F84" s="52" t="inlineStr">
        <is>
          <t>Tab</t>
        </is>
      </c>
      <c r="G84" s="6" t="inlineStr">
        <is>
          <t>Hồ sơ ứng tuyển vào tin của công ty — chỉ hiện với khách hàng Job Posting.</t>
        </is>
      </c>
      <c r="H84" s="6" t="inlineStr">
        <is>
          <t>admin-company-list</t>
        </is>
      </c>
      <c r="I84" s="6" t="inlineStr">
        <is>
          <t>/wireframe/admin?screen=admin-company-list</t>
        </is>
      </c>
      <c r="J84" s="6" t="inlineStr">
        <is>
          <t>CRM → Companies</t>
        </is>
      </c>
      <c r="K84" s="26" t="inlineStr">
        <is>
          <t>Luan</t>
        </is>
      </c>
      <c r="L84" s="29" t="inlineStr"/>
      <c r="M84" s="30" t="inlineStr"/>
      <c r="N84" s="29" t="inlineStr"/>
    </row>
    <row r="85" ht="28" customHeight="1">
      <c r="A85" s="26" t="n">
        <v>82</v>
      </c>
      <c r="B85" s="5" t="inlineStr">
        <is>
          <t>AD-CRM-COM-12</t>
        </is>
      </c>
      <c r="C85" s="58" t="inlineStr">
        <is>
          <t>CRM</t>
        </is>
      </c>
      <c r="D85" s="58" t="inlineStr">
        <is>
          <t>Companies</t>
        </is>
      </c>
      <c r="E85" s="5" t="inlineStr">
        <is>
          <t>Tab Resumes</t>
        </is>
      </c>
      <c r="F85" s="52" t="inlineStr">
        <is>
          <t>Tab</t>
        </is>
      </c>
      <c r="G85" s="6" t="inlineStr">
        <is>
          <t>CV đã mở khoá — chỉ hiện với khách hàng Resume Search.</t>
        </is>
      </c>
      <c r="H85" s="6" t="inlineStr">
        <is>
          <t>admin-company-list</t>
        </is>
      </c>
      <c r="I85" s="6" t="inlineStr">
        <is>
          <t>/wireframe/admin?screen=admin-company-list</t>
        </is>
      </c>
      <c r="J85" s="6" t="inlineStr">
        <is>
          <t>CRM → Companies</t>
        </is>
      </c>
      <c r="K85" s="26" t="inlineStr">
        <is>
          <t>Luan</t>
        </is>
      </c>
      <c r="L85" s="29" t="inlineStr"/>
      <c r="M85" s="30" t="inlineStr"/>
      <c r="N85" s="29" t="inlineStr"/>
    </row>
    <row r="86" ht="54" customHeight="1">
      <c r="A86" s="26" t="n">
        <v>83</v>
      </c>
      <c r="B86" s="5" t="inlineStr">
        <is>
          <t>AD-CRM-COM-13</t>
        </is>
      </c>
      <c r="C86" s="58" t="inlineStr">
        <is>
          <t>CRM</t>
        </is>
      </c>
      <c r="D86" s="58" t="inlineStr">
        <is>
          <t>Companies</t>
        </is>
      </c>
      <c r="E86" s="5" t="inlineStr">
        <is>
          <t>Overview — Basic info card</t>
        </is>
      </c>
      <c r="F86" s="28" t="inlineStr">
        <is>
          <t>Khối / Section</t>
        </is>
      </c>
      <c r="G86" s="6" t="inlineStr">
        <is>
          <t>Company ID · legal name · tên hiển thị · MST · công ty mẹ · ngành · quy mô · tag · quốc gia · tỉnh · địa chỉ · website · lead source · sales owner · sản phẩm quan tâm · giá trị ước tính · mô tả. Sửa cả thẻ bằng một nút Edit.</t>
        </is>
      </c>
      <c r="H86" s="6" t="inlineStr">
        <is>
          <t>admin-company-list</t>
        </is>
      </c>
      <c r="I86" s="6" t="inlineStr">
        <is>
          <t>/wireframe/admin?screen=admin-company-list</t>
        </is>
      </c>
      <c r="J86" s="6" t="inlineStr">
        <is>
          <t>CRM → Companies</t>
        </is>
      </c>
      <c r="K86" s="26" t="inlineStr">
        <is>
          <t>Luan</t>
        </is>
      </c>
      <c r="L86" s="29" t="inlineStr"/>
      <c r="M86" s="30" t="inlineStr"/>
      <c r="N86" s="29" t="inlineStr"/>
    </row>
    <row r="87" ht="28" customHeight="1">
      <c r="A87" s="26" t="n">
        <v>84</v>
      </c>
      <c r="B87" s="5" t="inlineStr">
        <is>
          <t>AD-CRM-COM-14</t>
        </is>
      </c>
      <c r="C87" s="58" t="inlineStr">
        <is>
          <t>CRM</t>
        </is>
      </c>
      <c r="D87" s="58" t="inlineStr">
        <is>
          <t>Companies</t>
        </is>
      </c>
      <c r="E87" s="5" t="inlineStr">
        <is>
          <t>Overview — Log an activity</t>
        </is>
      </c>
      <c r="F87" s="28" t="inlineStr">
        <is>
          <t>Khối / Section</t>
        </is>
      </c>
      <c r="G87" s="6" t="inlineStr">
        <is>
          <t>Ghi nhanh Chat · Call · Meeting (kèm file/ảnh) — đây là thứ reset đồng hồ Idle.</t>
        </is>
      </c>
      <c r="H87" s="6" t="inlineStr">
        <is>
          <t>admin-company-list</t>
        </is>
      </c>
      <c r="I87" s="6" t="inlineStr">
        <is>
          <t>/wireframe/admin?screen=admin-company-list</t>
        </is>
      </c>
      <c r="J87" s="6" t="inlineStr">
        <is>
          <t>CRM → Companies</t>
        </is>
      </c>
      <c r="K87" s="26" t="inlineStr">
        <is>
          <t>Luan</t>
        </is>
      </c>
      <c r="L87" s="29" t="inlineStr"/>
      <c r="M87" s="30" t="inlineStr"/>
      <c r="N87" s="29" t="inlineStr"/>
    </row>
    <row r="88" ht="28" customHeight="1">
      <c r="A88" s="26" t="n">
        <v>85</v>
      </c>
      <c r="B88" s="5" t="inlineStr">
        <is>
          <t>AD-CRM-COM-15</t>
        </is>
      </c>
      <c r="C88" s="58" t="inlineStr">
        <is>
          <t>CRM</t>
        </is>
      </c>
      <c r="D88" s="58" t="inlineStr">
        <is>
          <t>Companies</t>
        </is>
      </c>
      <c r="E88" s="5" t="inlineStr">
        <is>
          <t>Overview — Activity timeline</t>
        </is>
      </c>
      <c r="F88" s="28" t="inlineStr">
        <is>
          <t>Khối / Section</t>
        </is>
      </c>
      <c r="G88" s="6" t="inlineStr">
        <is>
          <t>Bộ lọc Sales · Client · System · Tất cả; mỗi dòng có when · activity · who · details.</t>
        </is>
      </c>
      <c r="H88" s="6" t="inlineStr">
        <is>
          <t>admin-company-list</t>
        </is>
      </c>
      <c r="I88" s="6" t="inlineStr">
        <is>
          <t>/wireframe/admin?screen=admin-company-list</t>
        </is>
      </c>
      <c r="J88" s="6" t="inlineStr">
        <is>
          <t>CRM → Companies</t>
        </is>
      </c>
      <c r="K88" s="26" t="inlineStr">
        <is>
          <t>Luan</t>
        </is>
      </c>
      <c r="L88" s="29" t="inlineStr"/>
      <c r="M88" s="30" t="inlineStr"/>
      <c r="N88" s="29" t="inlineStr"/>
    </row>
    <row r="89" ht="40.5" customHeight="1">
      <c r="A89" s="26" t="n">
        <v>86</v>
      </c>
      <c r="B89" s="5" t="inlineStr">
        <is>
          <t>AD-CRM-COM-16</t>
        </is>
      </c>
      <c r="C89" s="58" t="inlineStr">
        <is>
          <t>CRM</t>
        </is>
      </c>
      <c r="D89" s="58" t="inlineStr">
        <is>
          <t>Companies</t>
        </is>
      </c>
      <c r="E89" s="5" t="inlineStr">
        <is>
          <t>New company — Company information</t>
        </is>
      </c>
      <c r="F89" s="46" t="inlineStr">
        <is>
          <t>Bước trong form</t>
        </is>
      </c>
      <c r="G89" s="6" t="inlineStr">
        <is>
          <t>Legal name · short name · MST (+ tra cứu + danh sách công ty cùng gốc MST) · ngành · quy mô · tag · quốc gia · tỉnh · địa chỉ (+ chọn trên bản đồ) · website.</t>
        </is>
      </c>
      <c r="H89" s="6" t="inlineStr">
        <is>
          <t>admin-company-list</t>
        </is>
      </c>
      <c r="I89" s="6" t="inlineStr">
        <is>
          <t>/wireframe/admin?screen=admin-company-list</t>
        </is>
      </c>
      <c r="J89" s="6" t="inlineStr">
        <is>
          <t>CRM → Companies</t>
        </is>
      </c>
      <c r="K89" s="26" t="inlineStr">
        <is>
          <t>Luan</t>
        </is>
      </c>
      <c r="L89" s="29" t="inlineStr"/>
      <c r="M89" s="30" t="inlineStr"/>
      <c r="N89" s="29" t="inlineStr"/>
    </row>
    <row r="90" ht="28" customHeight="1">
      <c r="A90" s="26" t="n">
        <v>87</v>
      </c>
      <c r="B90" s="5" t="inlineStr">
        <is>
          <t>AD-CRM-COM-17</t>
        </is>
      </c>
      <c r="C90" s="58" t="inlineStr">
        <is>
          <t>CRM</t>
        </is>
      </c>
      <c r="D90" s="58" t="inlineStr">
        <is>
          <t>Companies</t>
        </is>
      </c>
      <c r="E90" s="5" t="inlineStr">
        <is>
          <t>New company — Company verification document</t>
        </is>
      </c>
      <c r="F90" s="46" t="inlineStr">
        <is>
          <t>Bước trong form</t>
        </is>
      </c>
      <c r="G90" s="6" t="inlineStr">
        <is>
          <t>Giấy phép kinh doanh / đăng ký thuế / hợp đồng. Không bắt buộc lúc tạo, nhưng bắt buộc trước khi xuất hoá đơn.</t>
        </is>
      </c>
      <c r="H90" s="6" t="inlineStr">
        <is>
          <t>admin-company-list</t>
        </is>
      </c>
      <c r="I90" s="6" t="inlineStr">
        <is>
          <t>/wireframe/admin?screen=admin-company-list</t>
        </is>
      </c>
      <c r="J90" s="6" t="inlineStr">
        <is>
          <t>CRM → Companies</t>
        </is>
      </c>
      <c r="K90" s="26" t="inlineStr">
        <is>
          <t>Luan</t>
        </is>
      </c>
      <c r="L90" s="29" t="inlineStr"/>
      <c r="M90" s="30" t="inlineStr"/>
      <c r="N90" s="29" t="inlineStr"/>
    </row>
    <row r="91" ht="28" customHeight="1">
      <c r="A91" s="26" t="n">
        <v>88</v>
      </c>
      <c r="B91" s="5" t="inlineStr">
        <is>
          <t>AD-CRM-COM-18</t>
        </is>
      </c>
      <c r="C91" s="58" t="inlineStr">
        <is>
          <t>CRM</t>
        </is>
      </c>
      <c r="D91" s="58" t="inlineStr">
        <is>
          <t>Companies</t>
        </is>
      </c>
      <c r="E91" s="5" t="inlineStr">
        <is>
          <t>New company — Primary contact</t>
        </is>
      </c>
      <c r="F91" s="46" t="inlineStr">
        <is>
          <t>Bước trong form</t>
        </is>
      </c>
      <c r="G91" s="6" t="inlineStr">
        <is>
          <t>Tên · chức danh · điện thoại · email. Bắt buộc cả điện thoại VÀ email.</t>
        </is>
      </c>
      <c r="H91" s="6" t="inlineStr">
        <is>
          <t>admin-company-list</t>
        </is>
      </c>
      <c r="I91" s="6" t="inlineStr">
        <is>
          <t>/wireframe/admin?screen=admin-company-list</t>
        </is>
      </c>
      <c r="J91" s="6" t="inlineStr">
        <is>
          <t>CRM → Companies</t>
        </is>
      </c>
      <c r="K91" s="26" t="inlineStr">
        <is>
          <t>Luan</t>
        </is>
      </c>
      <c r="L91" s="29" t="inlineStr"/>
      <c r="M91" s="30" t="inlineStr"/>
      <c r="N91" s="29" t="inlineStr"/>
    </row>
    <row r="92" ht="28" customHeight="1">
      <c r="A92" s="26" t="n">
        <v>89</v>
      </c>
      <c r="B92" s="5" t="inlineStr">
        <is>
          <t>AD-CRM-COM-19</t>
        </is>
      </c>
      <c r="C92" s="58" t="inlineStr">
        <is>
          <t>CRM</t>
        </is>
      </c>
      <c r="D92" s="58" t="inlineStr">
        <is>
          <t>Companies</t>
        </is>
      </c>
      <c r="E92" s="5" t="inlineStr">
        <is>
          <t>New company — Sales</t>
        </is>
      </c>
      <c r="F92" s="46" t="inlineStr">
        <is>
          <t>Bước trong form</t>
        </is>
      </c>
      <c r="G92" s="6" t="inlineStr">
        <is>
          <t>Lead source · sales owner · sản phẩm quan tâm · giá trị ước tính · mô tả.</t>
        </is>
      </c>
      <c r="H92" s="6" t="inlineStr">
        <is>
          <t>admin-company-list</t>
        </is>
      </c>
      <c r="I92" s="6" t="inlineStr">
        <is>
          <t>/wireframe/admin?screen=admin-company-list</t>
        </is>
      </c>
      <c r="J92" s="6" t="inlineStr">
        <is>
          <t>CRM → Companies</t>
        </is>
      </c>
      <c r="K92" s="26" t="inlineStr">
        <is>
          <t>Luan</t>
        </is>
      </c>
      <c r="L92" s="29" t="inlineStr"/>
      <c r="M92" s="30" t="inlineStr"/>
      <c r="N92" s="29" t="inlineStr"/>
    </row>
    <row r="93" ht="28" customHeight="1">
      <c r="A93" s="26" t="n">
        <v>90</v>
      </c>
      <c r="B93" s="5" t="inlineStr">
        <is>
          <t>AD-CRM-COM-20</t>
        </is>
      </c>
      <c r="C93" s="58" t="inlineStr">
        <is>
          <t>CRM</t>
        </is>
      </c>
      <c r="D93" s="58" t="inlineStr">
        <is>
          <t>Companies</t>
        </is>
      </c>
      <c r="E93" s="5" t="inlineStr">
        <is>
          <t>Kiểm tra MST khi lưu</t>
        </is>
      </c>
      <c r="F93" s="45" t="inlineStr">
        <is>
          <t>Hành động</t>
        </is>
      </c>
      <c r="G93" s="6" t="inlineStr">
        <is>
          <t>Trùng MST đầy đủ → chặn. Cùng gốc 10 số hoặc tên gần giống → chỉ gợi ý liên kết, không chặn.</t>
        </is>
      </c>
      <c r="H93" s="6" t="inlineStr">
        <is>
          <t>admin-company-list</t>
        </is>
      </c>
      <c r="I93" s="6" t="inlineStr">
        <is>
          <t>/wireframe/admin?screen=admin-company-list</t>
        </is>
      </c>
      <c r="J93" s="6" t="inlineStr">
        <is>
          <t>CRM → Companies</t>
        </is>
      </c>
      <c r="K93" s="26" t="inlineStr">
        <is>
          <t>Luan</t>
        </is>
      </c>
      <c r="L93" s="29" t="inlineStr"/>
      <c r="M93" s="30" t="inlineStr"/>
      <c r="N93" s="29" t="inlineStr"/>
    </row>
    <row r="94" ht="28" customHeight="1">
      <c r="A94" s="26" t="n">
        <v>91</v>
      </c>
      <c r="B94" s="5" t="inlineStr">
        <is>
          <t>AD-CRM-COM-21</t>
        </is>
      </c>
      <c r="C94" s="58" t="inlineStr">
        <is>
          <t>CRM</t>
        </is>
      </c>
      <c r="D94" s="58" t="inlineStr">
        <is>
          <t>Companies</t>
        </is>
      </c>
      <c r="E94" s="5" t="inlineStr">
        <is>
          <t>Liên kết công ty mẹ / con</t>
        </is>
      </c>
      <c r="F94" s="47" t="inlineStr">
        <is>
          <t>Modal</t>
        </is>
      </c>
      <c r="G94" s="6" t="inlineStr">
        <is>
          <t>“↑ Là con của” chỉ chọn được một dòng; “↓ Là mẹ của” chọn được nhiều dòng; chặn liên kết tạo vòng.</t>
        </is>
      </c>
      <c r="H94" s="6" t="inlineStr">
        <is>
          <t>admin-company-list</t>
        </is>
      </c>
      <c r="I94" s="6" t="inlineStr">
        <is>
          <t>/wireframe/admin?screen=admin-company-list</t>
        </is>
      </c>
      <c r="J94" s="6" t="inlineStr">
        <is>
          <t>CRM → Companies</t>
        </is>
      </c>
      <c r="K94" s="26" t="inlineStr">
        <is>
          <t>Luan</t>
        </is>
      </c>
      <c r="L94" s="29" t="inlineStr"/>
      <c r="M94" s="30" t="inlineStr"/>
      <c r="N94" s="29" t="inlineStr"/>
    </row>
    <row r="95" ht="28" customHeight="1">
      <c r="A95" s="26" t="n">
        <v>92</v>
      </c>
      <c r="B95" s="5" t="inlineStr">
        <is>
          <t>AD-CRM-COM-22</t>
        </is>
      </c>
      <c r="C95" s="58" t="inlineStr">
        <is>
          <t>CRM</t>
        </is>
      </c>
      <c r="D95" s="58" t="inlineStr">
        <is>
          <t>Companies</t>
        </is>
      </c>
      <c r="E95" s="5" t="inlineStr">
        <is>
          <t>Archive company</t>
        </is>
      </c>
      <c r="F95" s="45" t="inlineStr">
        <is>
          <t>Hành động</t>
        </is>
      </c>
      <c r="G95" s="6" t="inlineStr">
        <is>
          <t>Lưu trữ hồ sơ công ty.</t>
        </is>
      </c>
      <c r="H95" s="6" t="inlineStr">
        <is>
          <t>admin-company-list</t>
        </is>
      </c>
      <c r="I95" s="6" t="inlineStr">
        <is>
          <t>/wireframe/admin?screen=admin-company-list</t>
        </is>
      </c>
      <c r="J95" s="6" t="inlineStr">
        <is>
          <t>CRM → Companies</t>
        </is>
      </c>
      <c r="K95" s="26" t="inlineStr">
        <is>
          <t>Luan</t>
        </is>
      </c>
      <c r="L95" s="29" t="inlineStr"/>
      <c r="M95" s="30" t="inlineStr"/>
      <c r="N95" s="29" t="inlineStr"/>
    </row>
    <row r="96" ht="28" customHeight="1">
      <c r="A96" s="31" t="n">
        <v>93</v>
      </c>
      <c r="B96" s="32" t="inlineStr">
        <is>
          <t>AD-CRM-PIP-01</t>
        </is>
      </c>
      <c r="C96" s="57" t="inlineStr">
        <is>
          <t>CRM</t>
        </is>
      </c>
      <c r="D96" s="57" t="inlineStr">
        <is>
          <t>Pipeline</t>
        </is>
      </c>
      <c r="E96" s="32" t="inlineStr">
        <is>
          <t>Board view (kanban)</t>
        </is>
      </c>
      <c r="F96" s="50" t="inlineStr">
        <is>
          <t>Tab</t>
        </is>
      </c>
      <c r="G96" s="35" t="inlineStr">
        <is>
          <t>Cách xem mặc định — thẻ deal xếp theo cột stage.</t>
        </is>
      </c>
      <c r="H96" s="35" t="inlineStr">
        <is>
          <t>admin-company-pipeline</t>
        </is>
      </c>
      <c r="I96" s="35" t="inlineStr">
        <is>
          <t>/wireframe/admin?screen=admin-company-pipeline</t>
        </is>
      </c>
      <c r="J96" s="35" t="inlineStr">
        <is>
          <t>CRM → Sales pipeline</t>
        </is>
      </c>
      <c r="K96" s="31" t="inlineStr">
        <is>
          <t>Luan</t>
        </is>
      </c>
      <c r="L96" s="36" t="inlineStr"/>
      <c r="M96" s="37" t="inlineStr"/>
      <c r="N96" s="36" t="inlineStr"/>
    </row>
    <row r="97" ht="28" customHeight="1">
      <c r="A97" s="26" t="n">
        <v>94</v>
      </c>
      <c r="B97" s="5" t="inlineStr">
        <is>
          <t>AD-CRM-PIP-02</t>
        </is>
      </c>
      <c r="C97" s="58" t="inlineStr">
        <is>
          <t>CRM</t>
        </is>
      </c>
      <c r="D97" s="58" t="inlineStr">
        <is>
          <t>Pipeline</t>
        </is>
      </c>
      <c r="E97" s="5" t="inlineStr">
        <is>
          <t>List view</t>
        </is>
      </c>
      <c r="F97" s="52" t="inlineStr">
        <is>
          <t>Tab</t>
        </is>
      </c>
      <c r="G97" s="6" t="inlineStr">
        <is>
          <t>Cùng dữ liệu, dạng bảng.</t>
        </is>
      </c>
      <c r="H97" s="6" t="inlineStr">
        <is>
          <t>admin-company-pipeline</t>
        </is>
      </c>
      <c r="I97" s="6" t="inlineStr">
        <is>
          <t>/wireframe/admin?screen=admin-company-pipeline</t>
        </is>
      </c>
      <c r="J97" s="6" t="inlineStr">
        <is>
          <t>CRM → Sales pipeline</t>
        </is>
      </c>
      <c r="K97" s="26" t="inlineStr">
        <is>
          <t>Luan</t>
        </is>
      </c>
      <c r="L97" s="29" t="inlineStr"/>
      <c r="M97" s="30" t="inlineStr"/>
      <c r="N97" s="29" t="inlineStr"/>
    </row>
    <row r="98" ht="28" customHeight="1">
      <c r="A98" s="26" t="n">
        <v>95</v>
      </c>
      <c r="B98" s="5" t="inlineStr">
        <is>
          <t>AD-CRM-PIP-03</t>
        </is>
      </c>
      <c r="C98" s="58" t="inlineStr">
        <is>
          <t>CRM</t>
        </is>
      </c>
      <c r="D98" s="58" t="inlineStr">
        <is>
          <t>Pipeline</t>
        </is>
      </c>
      <c r="E98" s="5" t="inlineStr">
        <is>
          <t>Grid view</t>
        </is>
      </c>
      <c r="F98" s="52" t="inlineStr">
        <is>
          <t>Tab</t>
        </is>
      </c>
      <c r="G98" s="6" t="inlineStr">
        <is>
          <t>Cùng dữ liệu, dạng lưới thẻ.</t>
        </is>
      </c>
      <c r="H98" s="6" t="inlineStr">
        <is>
          <t>admin-company-pipeline</t>
        </is>
      </c>
      <c r="I98" s="6" t="inlineStr">
        <is>
          <t>/wireframe/admin?screen=admin-company-pipeline</t>
        </is>
      </c>
      <c r="J98" s="6" t="inlineStr">
        <is>
          <t>CRM → Sales pipeline</t>
        </is>
      </c>
      <c r="K98" s="26" t="inlineStr">
        <is>
          <t>Luan</t>
        </is>
      </c>
      <c r="L98" s="29" t="inlineStr"/>
      <c r="M98" s="30" t="inlineStr"/>
      <c r="N98" s="29" t="inlineStr"/>
    </row>
    <row r="99" ht="28" customHeight="1">
      <c r="A99" s="26" t="n">
        <v>96</v>
      </c>
      <c r="B99" s="5" t="inlineStr">
        <is>
          <t>AD-CRM-PIP-04</t>
        </is>
      </c>
      <c r="C99" s="58" t="inlineStr">
        <is>
          <t>CRM</t>
        </is>
      </c>
      <c r="D99" s="58" t="inlineStr">
        <is>
          <t>Pipeline</t>
        </is>
      </c>
      <c r="E99" s="5" t="inlineStr">
        <is>
          <t>Cột Proposal</t>
        </is>
      </c>
      <c r="F99" s="28" t="inlineStr">
        <is>
          <t>Khối / Section</t>
        </is>
      </c>
      <c r="G99" s="6" t="inlineStr">
        <is>
          <t>Đã có báo giá (kể cả Draft). Số đếm + tổng giá trị trên đầu cột.</t>
        </is>
      </c>
      <c r="H99" s="6" t="inlineStr">
        <is>
          <t>admin-company-pipeline</t>
        </is>
      </c>
      <c r="I99" s="6" t="inlineStr">
        <is>
          <t>/wireframe/admin?screen=admin-company-pipeline</t>
        </is>
      </c>
      <c r="J99" s="6" t="inlineStr">
        <is>
          <t>CRM → Sales pipeline</t>
        </is>
      </c>
      <c r="K99" s="26" t="inlineStr">
        <is>
          <t>Luan</t>
        </is>
      </c>
      <c r="L99" s="29" t="inlineStr"/>
      <c r="M99" s="30" t="inlineStr"/>
      <c r="N99" s="29" t="inlineStr"/>
    </row>
    <row r="100" ht="28" customHeight="1">
      <c r="A100" s="26" t="n">
        <v>97</v>
      </c>
      <c r="B100" s="5" t="inlineStr">
        <is>
          <t>AD-CRM-PIP-05</t>
        </is>
      </c>
      <c r="C100" s="58" t="inlineStr">
        <is>
          <t>CRM</t>
        </is>
      </c>
      <c r="D100" s="58" t="inlineStr">
        <is>
          <t>Pipeline</t>
        </is>
      </c>
      <c r="E100" s="5" t="inlineStr">
        <is>
          <t>Cột Qualified</t>
        </is>
      </c>
      <c r="F100" s="28" t="inlineStr">
        <is>
          <t>Khối / Section</t>
        </is>
      </c>
      <c r="G100" s="6" t="inlineStr">
        <is>
          <t>HR manager đồng ý trao đổi về báo giá.</t>
        </is>
      </c>
      <c r="H100" s="6" t="inlineStr">
        <is>
          <t>admin-company-pipeline</t>
        </is>
      </c>
      <c r="I100" s="6" t="inlineStr">
        <is>
          <t>/wireframe/admin?screen=admin-company-pipeline</t>
        </is>
      </c>
      <c r="J100" s="6" t="inlineStr">
        <is>
          <t>CRM → Sales pipeline</t>
        </is>
      </c>
      <c r="K100" s="26" t="inlineStr">
        <is>
          <t>Luan</t>
        </is>
      </c>
      <c r="L100" s="29" t="inlineStr"/>
      <c r="M100" s="30" t="inlineStr"/>
      <c r="N100" s="29" t="inlineStr"/>
    </row>
    <row r="101" ht="28" customHeight="1">
      <c r="A101" s="26" t="n">
        <v>98</v>
      </c>
      <c r="B101" s="5" t="inlineStr">
        <is>
          <t>AD-CRM-PIP-06</t>
        </is>
      </c>
      <c r="C101" s="58" t="inlineStr">
        <is>
          <t>CRM</t>
        </is>
      </c>
      <c r="D101" s="58" t="inlineStr">
        <is>
          <t>Pipeline</t>
        </is>
      </c>
      <c r="E101" s="5" t="inlineStr">
        <is>
          <t>Cột Negotiation</t>
        </is>
      </c>
      <c r="F101" s="28" t="inlineStr">
        <is>
          <t>Khối / Section</t>
        </is>
      </c>
      <c r="G101" s="6" t="inlineStr">
        <is>
          <t>Khách đang duyệt nội bộ / xin sửa. Sửa lên v2 diễn ra ở đây.</t>
        </is>
      </c>
      <c r="H101" s="6" t="inlineStr">
        <is>
          <t>admin-company-pipeline</t>
        </is>
      </c>
      <c r="I101" s="6" t="inlineStr">
        <is>
          <t>/wireframe/admin?screen=admin-company-pipeline</t>
        </is>
      </c>
      <c r="J101" s="6" t="inlineStr">
        <is>
          <t>CRM → Sales pipeline</t>
        </is>
      </c>
      <c r="K101" s="26" t="inlineStr">
        <is>
          <t>Luan</t>
        </is>
      </c>
      <c r="L101" s="29" t="inlineStr"/>
      <c r="M101" s="30" t="inlineStr"/>
      <c r="N101" s="29" t="inlineStr"/>
    </row>
    <row r="102" ht="28" customHeight="1">
      <c r="A102" s="26" t="n">
        <v>99</v>
      </c>
      <c r="B102" s="5" t="inlineStr">
        <is>
          <t>AD-CRM-PIP-07</t>
        </is>
      </c>
      <c r="C102" s="58" t="inlineStr">
        <is>
          <t>CRM</t>
        </is>
      </c>
      <c r="D102" s="58" t="inlineStr">
        <is>
          <t>Pipeline</t>
        </is>
      </c>
      <c r="E102" s="5" t="inlineStr">
        <is>
          <t>Cột PO</t>
        </is>
      </c>
      <c r="F102" s="28" t="inlineStr">
        <is>
          <t>Khối / Section</t>
        </is>
      </c>
      <c r="G102" s="6" t="inlineStr">
        <is>
          <t>Đã phát hành PO — đây là mốc “won”, nhưng chưa cấp gì cả.</t>
        </is>
      </c>
      <c r="H102" s="6" t="inlineStr">
        <is>
          <t>admin-company-pipeline</t>
        </is>
      </c>
      <c r="I102" s="6" t="inlineStr">
        <is>
          <t>/wireframe/admin?screen=admin-company-pipeline</t>
        </is>
      </c>
      <c r="J102" s="6" t="inlineStr">
        <is>
          <t>CRM → Sales pipeline</t>
        </is>
      </c>
      <c r="K102" s="26" t="inlineStr">
        <is>
          <t>Luan</t>
        </is>
      </c>
      <c r="L102" s="29" t="inlineStr"/>
      <c r="M102" s="30" t="inlineStr"/>
      <c r="N102" s="29" t="inlineStr"/>
    </row>
    <row r="103" ht="28" customHeight="1">
      <c r="A103" s="26" t="n">
        <v>100</v>
      </c>
      <c r="B103" s="5" t="inlineStr">
        <is>
          <t>AD-CRM-PIP-08</t>
        </is>
      </c>
      <c r="C103" s="58" t="inlineStr">
        <is>
          <t>CRM</t>
        </is>
      </c>
      <c r="D103" s="58" t="inlineStr">
        <is>
          <t>Pipeline</t>
        </is>
      </c>
      <c r="E103" s="5" t="inlineStr">
        <is>
          <t>Cột Invoice</t>
        </is>
      </c>
      <c r="F103" s="28" t="inlineStr">
        <is>
          <t>Khối / Section</t>
        </is>
      </c>
      <c r="G103" s="6" t="inlineStr">
        <is>
          <t>Kế toán đã xuất hoá đơn VAT — deal đóng, khách thành Existing.</t>
        </is>
      </c>
      <c r="H103" s="6" t="inlineStr">
        <is>
          <t>admin-company-pipeline</t>
        </is>
      </c>
      <c r="I103" s="6" t="inlineStr">
        <is>
          <t>/wireframe/admin?screen=admin-company-pipeline</t>
        </is>
      </c>
      <c r="J103" s="6" t="inlineStr">
        <is>
          <t>CRM → Sales pipeline</t>
        </is>
      </c>
      <c r="K103" s="26" t="inlineStr">
        <is>
          <t>Luan</t>
        </is>
      </c>
      <c r="L103" s="29" t="inlineStr"/>
      <c r="M103" s="30" t="inlineStr"/>
      <c r="N103" s="29" t="inlineStr"/>
    </row>
    <row r="104" ht="28" customHeight="1">
      <c r="A104" s="26" t="n">
        <v>101</v>
      </c>
      <c r="B104" s="5" t="inlineStr">
        <is>
          <t>AD-CRM-PIP-09</t>
        </is>
      </c>
      <c r="C104" s="58" t="inlineStr">
        <is>
          <t>CRM</t>
        </is>
      </c>
      <c r="D104" s="58" t="inlineStr">
        <is>
          <t>Pipeline</t>
        </is>
      </c>
      <c r="E104" s="5" t="inlineStr">
        <is>
          <t>Lost (filter / drawer)</t>
        </is>
      </c>
      <c r="F104" s="28" t="inlineStr">
        <is>
          <t>Khối / Section</t>
        </is>
      </c>
      <c r="G104" s="6" t="inlineStr">
        <is>
          <t>Không phải cột thường trực. Chỉ người thật đóng Lost và bắt buộc chọn lý do.</t>
        </is>
      </c>
      <c r="H104" s="6" t="inlineStr">
        <is>
          <t>admin-company-pipeline</t>
        </is>
      </c>
      <c r="I104" s="6" t="inlineStr">
        <is>
          <t>/wireframe/admin?screen=admin-company-pipeline</t>
        </is>
      </c>
      <c r="J104" s="6" t="inlineStr">
        <is>
          <t>CRM → Sales pipeline</t>
        </is>
      </c>
      <c r="K104" s="26" t="inlineStr">
        <is>
          <t>Luan</t>
        </is>
      </c>
      <c r="L104" s="29" t="inlineStr"/>
      <c r="M104" s="30" t="inlineStr"/>
      <c r="N104" s="29" t="inlineStr"/>
    </row>
    <row r="105" ht="28" customHeight="1">
      <c r="A105" s="26" t="n">
        <v>102</v>
      </c>
      <c r="B105" s="5" t="inlineStr">
        <is>
          <t>AD-CRM-PIP-10</t>
        </is>
      </c>
      <c r="C105" s="58" t="inlineStr">
        <is>
          <t>CRM</t>
        </is>
      </c>
      <c r="D105" s="58" t="inlineStr">
        <is>
          <t>Pipeline</t>
        </is>
      </c>
      <c r="E105" s="5" t="inlineStr">
        <is>
          <t>Deal card</t>
        </is>
      </c>
      <c r="F105" s="28" t="inlineStr">
        <is>
          <t>Khối / Section</t>
        </is>
      </c>
      <c r="G105" s="6" t="inlineStr">
        <is>
          <t>Công ty · ngành · giá trị · owner · hoạt động cuối · Idle · chấm sức khoẻ (xanh/vàng/đỏ) · badge số quote/PO/invoice.</t>
        </is>
      </c>
      <c r="H105" s="6" t="inlineStr">
        <is>
          <t>admin-company-pipeline</t>
        </is>
      </c>
      <c r="I105" s="6" t="inlineStr">
        <is>
          <t>/wireframe/admin?screen=admin-company-pipeline</t>
        </is>
      </c>
      <c r="J105" s="6" t="inlineStr">
        <is>
          <t>CRM → Sales pipeline</t>
        </is>
      </c>
      <c r="K105" s="26" t="inlineStr">
        <is>
          <t>Luan</t>
        </is>
      </c>
      <c r="L105" s="29" t="inlineStr"/>
      <c r="M105" s="30" t="inlineStr"/>
      <c r="N105" s="29" t="inlineStr"/>
    </row>
    <row r="106" ht="28" customHeight="1">
      <c r="A106" s="26" t="n">
        <v>103</v>
      </c>
      <c r="B106" s="5" t="inlineStr">
        <is>
          <t>AD-CRM-PIP-11</t>
        </is>
      </c>
      <c r="C106" s="58" t="inlineStr">
        <is>
          <t>CRM</t>
        </is>
      </c>
      <c r="D106" s="58" t="inlineStr">
        <is>
          <t>Pipeline</t>
        </is>
      </c>
      <c r="E106" s="5" t="inlineStr">
        <is>
          <t>Bộ lọc “Needs attention”</t>
        </is>
      </c>
      <c r="F106" s="43" t="inlineStr">
        <is>
          <t>Bộ lọc</t>
        </is>
      </c>
      <c r="G106" s="6" t="inlineStr">
        <is>
          <t>Các deal đã quá ngưỡng im lặng của stage hiện tại.</t>
        </is>
      </c>
      <c r="H106" s="6" t="inlineStr">
        <is>
          <t>admin-company-pipeline</t>
        </is>
      </c>
      <c r="I106" s="6" t="inlineStr">
        <is>
          <t>/wireframe/admin?screen=admin-company-pipeline</t>
        </is>
      </c>
      <c r="J106" s="6" t="inlineStr">
        <is>
          <t>CRM → Sales pipeline</t>
        </is>
      </c>
      <c r="K106" s="26" t="inlineStr">
        <is>
          <t>Luan</t>
        </is>
      </c>
      <c r="L106" s="29" t="inlineStr"/>
      <c r="M106" s="30" t="inlineStr"/>
      <c r="N106" s="29" t="inlineStr"/>
    </row>
    <row r="107" ht="28" customHeight="1">
      <c r="A107" s="26" t="n">
        <v>104</v>
      </c>
      <c r="B107" s="5" t="inlineStr">
        <is>
          <t>AD-CRM-PIP-12</t>
        </is>
      </c>
      <c r="C107" s="58" t="inlineStr">
        <is>
          <t>CRM</t>
        </is>
      </c>
      <c r="D107" s="58" t="inlineStr">
        <is>
          <t>Pipeline</t>
        </is>
      </c>
      <c r="E107" s="5" t="inlineStr">
        <is>
          <t>Đổi stage trên badge</t>
        </is>
      </c>
      <c r="F107" s="45" t="inlineStr">
        <is>
          <t>Hành động</t>
        </is>
      </c>
      <c r="G107" s="6" t="inlineStr">
        <is>
          <t>Menu chỉ có Proposal · Qualified · Negotiation · Lost. PO và Invoice do hệ thống ghi, không có trong menu.</t>
        </is>
      </c>
      <c r="H107" s="6" t="inlineStr">
        <is>
          <t>admin-company-pipeline</t>
        </is>
      </c>
      <c r="I107" s="6" t="inlineStr">
        <is>
          <t>/wireframe/admin?screen=admin-company-pipeline</t>
        </is>
      </c>
      <c r="J107" s="6" t="inlineStr">
        <is>
          <t>CRM → Sales pipeline</t>
        </is>
      </c>
      <c r="K107" s="26" t="inlineStr">
        <is>
          <t>Luan</t>
        </is>
      </c>
      <c r="L107" s="29" t="inlineStr"/>
      <c r="M107" s="30" t="inlineStr"/>
      <c r="N107" s="29" t="inlineStr"/>
    </row>
    <row r="108" ht="28" customHeight="1">
      <c r="A108" s="26" t="n">
        <v>105</v>
      </c>
      <c r="B108" s="5" t="inlineStr">
        <is>
          <t>AD-CRM-PIP-13</t>
        </is>
      </c>
      <c r="C108" s="58" t="inlineStr">
        <is>
          <t>CRM</t>
        </is>
      </c>
      <c r="D108" s="58" t="inlineStr">
        <is>
          <t>Pipeline</t>
        </is>
      </c>
      <c r="E108" s="5" t="inlineStr">
        <is>
          <t>Close as Lost</t>
        </is>
      </c>
      <c r="F108" s="47" t="inlineStr">
        <is>
          <t>Modal</t>
        </is>
      </c>
      <c r="G108" s="6" t="inlineStr">
        <is>
          <t>Bắt buộc chọn lý do (giá cao · chọn đối thủ · cắt ngân sách · hết nhu cầu · mất liên lạc).</t>
        </is>
      </c>
      <c r="H108" s="6" t="inlineStr">
        <is>
          <t>admin-company-pipeline</t>
        </is>
      </c>
      <c r="I108" s="6" t="inlineStr">
        <is>
          <t>/wireframe/admin?screen=admin-company-pipeline</t>
        </is>
      </c>
      <c r="J108" s="6" t="inlineStr">
        <is>
          <t>CRM → Sales pipeline</t>
        </is>
      </c>
      <c r="K108" s="26" t="inlineStr">
        <is>
          <t>Luan</t>
        </is>
      </c>
      <c r="L108" s="29" t="inlineStr"/>
      <c r="M108" s="30" t="inlineStr"/>
      <c r="N108" s="29" t="inlineStr"/>
    </row>
    <row r="109" ht="40.5" customHeight="1">
      <c r="A109" s="31" t="n">
        <v>106</v>
      </c>
      <c r="B109" s="32" t="inlineStr">
        <is>
          <t>AD-CRM-QUO-01</t>
        </is>
      </c>
      <c r="C109" s="57" t="inlineStr">
        <is>
          <t>CRM</t>
        </is>
      </c>
      <c r="D109" s="57" t="inlineStr">
        <is>
          <t>Quotations</t>
        </is>
      </c>
      <c r="E109" s="32" t="inlineStr">
        <is>
          <t>Danh sách + bộ lọc</t>
        </is>
      </c>
      <c r="F109" s="54" t="inlineStr">
        <is>
          <t>Bảng danh sách</t>
        </is>
      </c>
      <c r="G109" s="35" t="inlineStr">
        <is>
          <t>Quote code/version · công ty · số option · giá trị · status (Draft · Sent · Issued to PO · Expired) · sentVia/sentAt · hạn · owner.</t>
        </is>
      </c>
      <c r="H109" s="35" t="inlineStr">
        <is>
          <t>admin-quotes</t>
        </is>
      </c>
      <c r="I109" s="35" t="inlineStr">
        <is>
          <t>/wireframe/admin?screen=admin-quotes</t>
        </is>
      </c>
      <c r="J109" s="35" t="inlineStr">
        <is>
          <t>CRM → Quotations</t>
        </is>
      </c>
      <c r="K109" s="31" t="inlineStr">
        <is>
          <t>Luan</t>
        </is>
      </c>
      <c r="L109" s="36" t="inlineStr"/>
      <c r="M109" s="37" t="inlineStr"/>
      <c r="N109" s="36" t="inlineStr"/>
    </row>
    <row r="110" ht="28" customHeight="1">
      <c r="A110" s="26" t="n">
        <v>107</v>
      </c>
      <c r="B110" s="5" t="inlineStr">
        <is>
          <t>AD-CRM-QUO-02</t>
        </is>
      </c>
      <c r="C110" s="58" t="inlineStr">
        <is>
          <t>CRM</t>
        </is>
      </c>
      <c r="D110" s="58" t="inlineStr">
        <is>
          <t>Quotations</t>
        </is>
      </c>
      <c r="E110" s="5" t="inlineStr">
        <is>
          <t>New quotation — 1 · Document header</t>
        </is>
      </c>
      <c r="F110" s="46" t="inlineStr">
        <is>
          <t>Bước trong form</t>
        </is>
      </c>
      <c r="G110" s="6" t="inlineStr">
        <is>
          <t>Số báo giá, ngày báo giá, ngày hết hạn (luôn là cuối tháng), người báo giá — tất cả tự sinh.</t>
        </is>
      </c>
      <c r="H110" s="6" t="inlineStr">
        <is>
          <t>admin-quotes</t>
        </is>
      </c>
      <c r="I110" s="6" t="inlineStr">
        <is>
          <t>/wireframe/admin?screen=admin-quotes</t>
        </is>
      </c>
      <c r="J110" s="6" t="inlineStr">
        <is>
          <t>CRM → Quotations</t>
        </is>
      </c>
      <c r="K110" s="26" t="inlineStr">
        <is>
          <t>Luan</t>
        </is>
      </c>
      <c r="L110" s="29" t="inlineStr"/>
      <c r="M110" s="30" t="inlineStr"/>
      <c r="N110" s="29" t="inlineStr"/>
    </row>
    <row r="111" ht="28" customHeight="1">
      <c r="A111" s="26" t="n">
        <v>108</v>
      </c>
      <c r="B111" s="5" t="inlineStr">
        <is>
          <t>AD-CRM-QUO-03</t>
        </is>
      </c>
      <c r="C111" s="58" t="inlineStr">
        <is>
          <t>CRM</t>
        </is>
      </c>
      <c r="D111" s="58" t="inlineStr">
        <is>
          <t>Quotations</t>
        </is>
      </c>
      <c r="E111" s="5" t="inlineStr">
        <is>
          <t>New quotation — 2 · Khách hàng / Client</t>
        </is>
      </c>
      <c r="F111" s="46" t="inlineStr">
        <is>
          <t>Bước trong form</t>
        </is>
      </c>
      <c r="G111" s="6" t="inlineStr">
        <is>
          <t>Thông tin người nhận + khối xuất hoá đơn VAT (tên pháp lý · địa chỉ ĐKKD · MST). Bắt buộc trước khi gửi.</t>
        </is>
      </c>
      <c r="H111" s="6" t="inlineStr">
        <is>
          <t>admin-quotes</t>
        </is>
      </c>
      <c r="I111" s="6" t="inlineStr">
        <is>
          <t>/wireframe/admin?screen=admin-quotes</t>
        </is>
      </c>
      <c r="J111" s="6" t="inlineStr">
        <is>
          <t>CRM → Quotations</t>
        </is>
      </c>
      <c r="K111" s="26" t="inlineStr">
        <is>
          <t>Luan</t>
        </is>
      </c>
      <c r="L111" s="29" t="inlineStr"/>
      <c r="M111" s="30" t="inlineStr"/>
      <c r="N111" s="29" t="inlineStr"/>
    </row>
    <row r="112" ht="28" customHeight="1">
      <c r="A112" s="26" t="n">
        <v>109</v>
      </c>
      <c r="B112" s="5" t="inlineStr">
        <is>
          <t>AD-CRM-QUO-04</t>
        </is>
      </c>
      <c r="C112" s="58" t="inlineStr">
        <is>
          <t>CRM</t>
        </is>
      </c>
      <c r="D112" s="58" t="inlineStr">
        <is>
          <t>Quotations</t>
        </is>
      </c>
      <c r="E112" s="5" t="inlineStr">
        <is>
          <t>New quotation — 3 · Options</t>
        </is>
      </c>
      <c r="F112" s="46" t="inlineStr">
        <is>
          <t>Bước trong form</t>
        </is>
      </c>
      <c r="G112" s="6" t="inlineStr">
        <is>
          <t>1–3 phương án thay thế nhau. Mỗi option có line items, VAT, tổng sau VAT, tiền bằng chữ và danh sách quyền lợi riêng.</t>
        </is>
      </c>
      <c r="H112" s="6" t="inlineStr">
        <is>
          <t>admin-quotes</t>
        </is>
      </c>
      <c r="I112" s="6" t="inlineStr">
        <is>
          <t>/wireframe/admin?screen=admin-quotes</t>
        </is>
      </c>
      <c r="J112" s="6" t="inlineStr">
        <is>
          <t>CRM → Quotations</t>
        </is>
      </c>
      <c r="K112" s="26" t="inlineStr">
        <is>
          <t>Luan</t>
        </is>
      </c>
      <c r="L112" s="29" t="inlineStr"/>
      <c r="M112" s="30" t="inlineStr"/>
      <c r="N112" s="29" t="inlineStr"/>
    </row>
    <row r="113" ht="28" customHeight="1">
      <c r="A113" s="26" t="n">
        <v>110</v>
      </c>
      <c r="B113" s="5" t="inlineStr">
        <is>
          <t>AD-CRM-QUO-05</t>
        </is>
      </c>
      <c r="C113" s="58" t="inlineStr">
        <is>
          <t>CRM</t>
        </is>
      </c>
      <c r="D113" s="58" t="inlineStr">
        <is>
          <t>Quotations</t>
        </is>
      </c>
      <c r="E113" s="5" t="inlineStr">
        <is>
          <t>New quotation — 4 · Terms &amp; signature</t>
        </is>
      </c>
      <c r="F113" s="46" t="inlineStr">
        <is>
          <t>Bước trong form</t>
        </is>
      </c>
      <c r="G113" s="6" t="inlineStr">
        <is>
          <t>6 điều khoản song ngữ theo template có version + khối chữ ký.</t>
        </is>
      </c>
      <c r="H113" s="6" t="inlineStr">
        <is>
          <t>admin-quotes</t>
        </is>
      </c>
      <c r="I113" s="6" t="inlineStr">
        <is>
          <t>/wireframe/admin?screen=admin-quotes</t>
        </is>
      </c>
      <c r="J113" s="6" t="inlineStr">
        <is>
          <t>CRM → Quotations</t>
        </is>
      </c>
      <c r="K113" s="26" t="inlineStr">
        <is>
          <t>Luan</t>
        </is>
      </c>
      <c r="L113" s="29" t="inlineStr"/>
      <c r="M113" s="30" t="inlineStr"/>
      <c r="N113" s="29" t="inlineStr"/>
    </row>
    <row r="114" ht="28" customHeight="1">
      <c r="A114" s="26" t="n">
        <v>111</v>
      </c>
      <c r="B114" s="5" t="inlineStr">
        <is>
          <t>AD-CRM-QUO-06</t>
        </is>
      </c>
      <c r="C114" s="58" t="inlineStr">
        <is>
          <t>CRM</t>
        </is>
      </c>
      <c r="D114" s="58" t="inlineStr">
        <is>
          <t>Quotations</t>
        </is>
      </c>
      <c r="E114" s="5" t="inlineStr">
        <is>
          <t>New quotation — 5 · Send</t>
        </is>
      </c>
      <c r="F114" s="46" t="inlineStr">
        <is>
          <t>Bước trong form</t>
        </is>
      </c>
      <c r="G114" s="6" t="inlineStr">
        <is>
          <t>“Send via platform” hoặc “Mark as sent” (Zalo / mail riêng / in). Cả hai đều đưa báo giá sang Sent.</t>
        </is>
      </c>
      <c r="H114" s="6" t="inlineStr">
        <is>
          <t>admin-quotes</t>
        </is>
      </c>
      <c r="I114" s="6" t="inlineStr">
        <is>
          <t>/wireframe/admin?screen=admin-quotes</t>
        </is>
      </c>
      <c r="J114" s="6" t="inlineStr">
        <is>
          <t>CRM → Quotations</t>
        </is>
      </c>
      <c r="K114" s="26" t="inlineStr">
        <is>
          <t>Luan</t>
        </is>
      </c>
      <c r="L114" s="29" t="inlineStr"/>
      <c r="M114" s="30" t="inlineStr"/>
      <c r="N114" s="29" t="inlineStr"/>
    </row>
    <row r="115" ht="28" customHeight="1">
      <c r="A115" s="26" t="n">
        <v>112</v>
      </c>
      <c r="B115" s="5" t="inlineStr">
        <is>
          <t>AD-CRM-QUO-07</t>
        </is>
      </c>
      <c r="C115" s="58" t="inlineStr">
        <is>
          <t>CRM</t>
        </is>
      </c>
      <c r="D115" s="58" t="inlineStr">
        <is>
          <t>Quotations</t>
        </is>
      </c>
      <c r="E115" s="5" t="inlineStr">
        <is>
          <t>Chiết khấu tự áp dụng</t>
        </is>
      </c>
      <c r="F115" s="28" t="inlineStr">
        <is>
          <t>Khối / Section</t>
        </is>
      </c>
      <c r="G115" s="6" t="inlineStr">
        <is>
          <t>Chương trình chiết khấu tự chạy theo trạng thái khách hàng; ô chiết khấu khoá lại khi đang áp dụng.</t>
        </is>
      </c>
      <c r="H115" s="6" t="inlineStr">
        <is>
          <t>admin-quotes</t>
        </is>
      </c>
      <c r="I115" s="6" t="inlineStr">
        <is>
          <t>/wireframe/admin?screen=admin-quotes</t>
        </is>
      </c>
      <c r="J115" s="6" t="inlineStr">
        <is>
          <t>CRM → Quotations</t>
        </is>
      </c>
      <c r="K115" s="26" t="inlineStr">
        <is>
          <t>Luan</t>
        </is>
      </c>
      <c r="L115" s="29" t="inlineStr"/>
      <c r="M115" s="30" t="inlineStr"/>
      <c r="N115" s="29" t="inlineStr"/>
    </row>
    <row r="116" ht="28" customHeight="1">
      <c r="A116" s="26" t="n">
        <v>113</v>
      </c>
      <c r="B116" s="5" t="inlineStr">
        <is>
          <t>AD-CRM-QUO-08</t>
        </is>
      </c>
      <c r="C116" s="58" t="inlineStr">
        <is>
          <t>CRM</t>
        </is>
      </c>
      <c r="D116" s="58" t="inlineStr">
        <is>
          <t>Quotations</t>
        </is>
      </c>
      <c r="E116" s="5" t="inlineStr">
        <is>
          <t>PDF preview song ngữ</t>
        </is>
      </c>
      <c r="F116" s="28" t="inlineStr">
        <is>
          <t>Khối / Section</t>
        </is>
      </c>
      <c r="G116" s="6" t="inlineStr">
        <is>
          <t>Bản xem trước cạnh form, giống hệt file gửi đi.</t>
        </is>
      </c>
      <c r="H116" s="6" t="inlineStr">
        <is>
          <t>admin-quotes</t>
        </is>
      </c>
      <c r="I116" s="6" t="inlineStr">
        <is>
          <t>/wireframe/admin?screen=admin-quotes</t>
        </is>
      </c>
      <c r="J116" s="6" t="inlineStr">
        <is>
          <t>CRM → Quotations</t>
        </is>
      </c>
      <c r="K116" s="26" t="inlineStr">
        <is>
          <t>Luan</t>
        </is>
      </c>
      <c r="L116" s="29" t="inlineStr"/>
      <c r="M116" s="30" t="inlineStr"/>
      <c r="N116" s="29" t="inlineStr"/>
    </row>
    <row r="117" ht="28" customHeight="1">
      <c r="A117" s="26" t="n">
        <v>114</v>
      </c>
      <c r="B117" s="5" t="inlineStr">
        <is>
          <t>AD-CRM-QUO-09</t>
        </is>
      </c>
      <c r="C117" s="58" t="inlineStr">
        <is>
          <t>CRM</t>
        </is>
      </c>
      <c r="D117" s="58" t="inlineStr">
        <is>
          <t>Quotations</t>
        </is>
      </c>
      <c r="E117" s="5" t="inlineStr">
        <is>
          <t>Ghi nhận option được chấp nhận</t>
        </is>
      </c>
      <c r="F117" s="45" t="inlineStr">
        <is>
          <t>Hành động</t>
        </is>
      </c>
      <c r="G117" s="6" t="inlineStr">
        <is>
          <t>Chọn option khách đồng ý; các option còn lại đánh dấu Not chosen. Đây là cửa duy nhất mở nút Issue PO.</t>
        </is>
      </c>
      <c r="H117" s="6" t="inlineStr">
        <is>
          <t>admin-quotes</t>
        </is>
      </c>
      <c r="I117" s="6" t="inlineStr">
        <is>
          <t>/wireframe/admin?screen=admin-quotes</t>
        </is>
      </c>
      <c r="J117" s="6" t="inlineStr">
        <is>
          <t>CRM → Quotations</t>
        </is>
      </c>
      <c r="K117" s="26" t="inlineStr">
        <is>
          <t>Luan</t>
        </is>
      </c>
      <c r="L117" s="29" t="inlineStr"/>
      <c r="M117" s="30" t="inlineStr"/>
      <c r="N117" s="29" t="inlineStr"/>
    </row>
    <row r="118" ht="28" customHeight="1">
      <c r="A118" s="26" t="n">
        <v>115</v>
      </c>
      <c r="B118" s="5" t="inlineStr">
        <is>
          <t>AD-CRM-QUO-10</t>
        </is>
      </c>
      <c r="C118" s="58" t="inlineStr">
        <is>
          <t>CRM</t>
        </is>
      </c>
      <c r="D118" s="58" t="inlineStr">
        <is>
          <t>Quotations</t>
        </is>
      </c>
      <c r="E118" s="5" t="inlineStr">
        <is>
          <t>Revise → v2</t>
        </is>
      </c>
      <c r="F118" s="45" t="inlineStr">
        <is>
          <t>Hành động</t>
        </is>
      </c>
      <c r="G118" s="6" t="inlineStr">
        <is>
          <t>Nhân bản thành phiên bản mới kèm lý do; v1 xám lại, ghi “replaced by v2”.</t>
        </is>
      </c>
      <c r="H118" s="6" t="inlineStr">
        <is>
          <t>admin-quotes</t>
        </is>
      </c>
      <c r="I118" s="6" t="inlineStr">
        <is>
          <t>/wireframe/admin?screen=admin-quotes</t>
        </is>
      </c>
      <c r="J118" s="6" t="inlineStr">
        <is>
          <t>CRM → Quotations</t>
        </is>
      </c>
      <c r="K118" s="26" t="inlineStr">
        <is>
          <t>Luan</t>
        </is>
      </c>
      <c r="L118" s="29" t="inlineStr"/>
      <c r="M118" s="30" t="inlineStr"/>
      <c r="N118" s="29" t="inlineStr"/>
    </row>
    <row r="119" ht="28" customHeight="1">
      <c r="A119" s="31" t="n">
        <v>116</v>
      </c>
      <c r="B119" s="32" t="inlineStr">
        <is>
          <t>AD-CRM-PUR-01</t>
        </is>
      </c>
      <c r="C119" s="57" t="inlineStr">
        <is>
          <t>CRM</t>
        </is>
      </c>
      <c r="D119" s="57" t="inlineStr">
        <is>
          <t>Purchase order</t>
        </is>
      </c>
      <c r="E119" s="32" t="inlineStr">
        <is>
          <t>All</t>
        </is>
      </c>
      <c r="F119" s="40" t="inlineStr">
        <is>
          <t>Tab trạng thái</t>
        </is>
      </c>
      <c r="G119" s="35" t="inlineStr">
        <is>
          <t>Toàn bộ PO.</t>
        </is>
      </c>
      <c r="H119" s="35" t="inlineStr">
        <is>
          <t>admin-purchase-orders</t>
        </is>
      </c>
      <c r="I119" s="35" t="inlineStr">
        <is>
          <t>/wireframe/admin?screen=admin-purchase-orders</t>
        </is>
      </c>
      <c r="J119" s="35" t="inlineStr">
        <is>
          <t>CRM → Purchase order</t>
        </is>
      </c>
      <c r="K119" s="31" t="inlineStr">
        <is>
          <t>Luan</t>
        </is>
      </c>
      <c r="L119" s="36" t="inlineStr"/>
      <c r="M119" s="37" t="inlineStr"/>
      <c r="N119" s="36" t="inlineStr"/>
    </row>
    <row r="120" ht="28" customHeight="1">
      <c r="A120" s="26" t="n">
        <v>117</v>
      </c>
      <c r="B120" s="5" t="inlineStr">
        <is>
          <t>AD-CRM-PUR-02</t>
        </is>
      </c>
      <c r="C120" s="58" t="inlineStr">
        <is>
          <t>CRM</t>
        </is>
      </c>
      <c r="D120" s="58" t="inlineStr">
        <is>
          <t>Purchase order</t>
        </is>
      </c>
      <c r="E120" s="5" t="inlineStr">
        <is>
          <t>Active</t>
        </is>
      </c>
      <c r="F120" s="42" t="inlineStr">
        <is>
          <t>Tab trạng thái</t>
        </is>
      </c>
      <c r="G120" s="6" t="inlineStr">
        <is>
          <t>Đã phát hành cho khách, đang chờ xuất hoá đơn. Đây là mốc “won”.</t>
        </is>
      </c>
      <c r="H120" s="6" t="inlineStr">
        <is>
          <t>admin-purchase-orders</t>
        </is>
      </c>
      <c r="I120" s="6" t="inlineStr">
        <is>
          <t>/wireframe/admin?screen=admin-purchase-orders</t>
        </is>
      </c>
      <c r="J120" s="6" t="inlineStr">
        <is>
          <t>CRM → Purchase order</t>
        </is>
      </c>
      <c r="K120" s="26" t="inlineStr">
        <is>
          <t>Luan</t>
        </is>
      </c>
      <c r="L120" s="29" t="inlineStr"/>
      <c r="M120" s="30" t="inlineStr"/>
      <c r="N120" s="29" t="inlineStr"/>
    </row>
    <row r="121" ht="28" customHeight="1">
      <c r="A121" s="26" t="n">
        <v>118</v>
      </c>
      <c r="B121" s="5" t="inlineStr">
        <is>
          <t>AD-CRM-PUR-03</t>
        </is>
      </c>
      <c r="C121" s="58" t="inlineStr">
        <is>
          <t>CRM</t>
        </is>
      </c>
      <c r="D121" s="58" t="inlineStr">
        <is>
          <t>Purchase order</t>
        </is>
      </c>
      <c r="E121" s="5" t="inlineStr">
        <is>
          <t>Issued invoice</t>
        </is>
      </c>
      <c r="F121" s="42" t="inlineStr">
        <is>
          <t>Tab trạng thái</t>
        </is>
      </c>
      <c r="G121" s="6" t="inlineStr">
        <is>
          <t>Đã có hoá đơn VAT — trạng thái cuối của PO.</t>
        </is>
      </c>
      <c r="H121" s="6" t="inlineStr">
        <is>
          <t>admin-purchase-orders</t>
        </is>
      </c>
      <c r="I121" s="6" t="inlineStr">
        <is>
          <t>/wireframe/admin?screen=admin-purchase-orders</t>
        </is>
      </c>
      <c r="J121" s="6" t="inlineStr">
        <is>
          <t>CRM → Purchase order</t>
        </is>
      </c>
      <c r="K121" s="26" t="inlineStr">
        <is>
          <t>Luan</t>
        </is>
      </c>
      <c r="L121" s="29" t="inlineStr"/>
      <c r="M121" s="30" t="inlineStr"/>
      <c r="N121" s="29" t="inlineStr"/>
    </row>
    <row r="122" ht="28" customHeight="1">
      <c r="A122" s="26" t="n">
        <v>119</v>
      </c>
      <c r="B122" s="5" t="inlineStr">
        <is>
          <t>AD-CRM-PUR-04</t>
        </is>
      </c>
      <c r="C122" s="58" t="inlineStr">
        <is>
          <t>CRM</t>
        </is>
      </c>
      <c r="D122" s="58" t="inlineStr">
        <is>
          <t>Purchase order</t>
        </is>
      </c>
      <c r="E122" s="5" t="inlineStr">
        <is>
          <t>Expired</t>
        </is>
      </c>
      <c r="F122" s="42" t="inlineStr">
        <is>
          <t>Tab trạng thái</t>
        </is>
      </c>
      <c r="G122" s="6" t="inlineStr">
        <is>
          <t>Hết hạn cuối tháng phát hành mà chưa xuất hoá đơn. Do hệ thống tự đặt.</t>
        </is>
      </c>
      <c r="H122" s="6" t="inlineStr">
        <is>
          <t>admin-purchase-orders</t>
        </is>
      </c>
      <c r="I122" s="6" t="inlineStr">
        <is>
          <t>/wireframe/admin?screen=admin-purchase-orders</t>
        </is>
      </c>
      <c r="J122" s="6" t="inlineStr">
        <is>
          <t>CRM → Purchase order</t>
        </is>
      </c>
      <c r="K122" s="26" t="inlineStr">
        <is>
          <t>Luan</t>
        </is>
      </c>
      <c r="L122" s="29" t="inlineStr"/>
      <c r="M122" s="30" t="inlineStr"/>
      <c r="N122" s="29" t="inlineStr"/>
    </row>
    <row r="123" ht="28" customHeight="1">
      <c r="A123" s="26" t="n">
        <v>120</v>
      </c>
      <c r="B123" s="5" t="inlineStr">
        <is>
          <t>AD-CRM-PUR-05</t>
        </is>
      </c>
      <c r="C123" s="58" t="inlineStr">
        <is>
          <t>CRM</t>
        </is>
      </c>
      <c r="D123" s="58" t="inlineStr">
        <is>
          <t>Purchase order</t>
        </is>
      </c>
      <c r="E123" s="5" t="inlineStr">
        <is>
          <t>Bảng danh sách</t>
        </is>
      </c>
      <c r="F123" s="38" t="inlineStr">
        <is>
          <t>Bảng danh sách</t>
        </is>
      </c>
      <c r="G123" s="6" t="inlineStr">
        <is>
          <t>PO code · khách hàng · tổng tiền · status · payment state · số hoá đơn đã xuất · owner.</t>
        </is>
      </c>
      <c r="H123" s="6" t="inlineStr">
        <is>
          <t>admin-purchase-orders</t>
        </is>
      </c>
      <c r="I123" s="6" t="inlineStr">
        <is>
          <t>/wireframe/admin?screen=admin-purchase-orders</t>
        </is>
      </c>
      <c r="J123" s="6" t="inlineStr">
        <is>
          <t>CRM → Purchase order</t>
        </is>
      </c>
      <c r="K123" s="26" t="inlineStr">
        <is>
          <t>Luan</t>
        </is>
      </c>
      <c r="L123" s="29" t="inlineStr"/>
      <c r="M123" s="30" t="inlineStr"/>
      <c r="N123" s="29" t="inlineStr"/>
    </row>
    <row r="124" ht="28" customHeight="1">
      <c r="A124" s="26" t="n">
        <v>121</v>
      </c>
      <c r="B124" s="5" t="inlineStr">
        <is>
          <t>AD-CRM-PUR-06</t>
        </is>
      </c>
      <c r="C124" s="58" t="inlineStr">
        <is>
          <t>CRM</t>
        </is>
      </c>
      <c r="D124" s="58" t="inlineStr">
        <is>
          <t>Purchase order</t>
        </is>
      </c>
      <c r="E124" s="5" t="inlineStr">
        <is>
          <t>PO detail</t>
        </is>
      </c>
      <c r="F124" s="44" t="inlineStr">
        <is>
          <t>Trang chi tiết</t>
        </is>
      </c>
      <c r="G124" s="6" t="inlineStr">
        <is>
          <t>Toàn bộ dòng hàng chép từ option đã chấp nhận + khối billing + điều khoản thanh toán + hạn cuối tháng.</t>
        </is>
      </c>
      <c r="H124" s="6" t="inlineStr">
        <is>
          <t>admin-purchase-orders</t>
        </is>
      </c>
      <c r="I124" s="6" t="inlineStr">
        <is>
          <t>/wireframe/admin?screen=admin-purchase-orders</t>
        </is>
      </c>
      <c r="J124" s="6" t="inlineStr">
        <is>
          <t>CRM → Purchase order</t>
        </is>
      </c>
      <c r="K124" s="26" t="inlineStr">
        <is>
          <t>Luan</t>
        </is>
      </c>
      <c r="L124" s="29" t="inlineStr"/>
      <c r="M124" s="30" t="inlineStr"/>
      <c r="N124" s="29" t="inlineStr"/>
    </row>
    <row r="125" ht="28" customHeight="1">
      <c r="A125" s="26" t="n">
        <v>122</v>
      </c>
      <c r="B125" s="5" t="inlineStr">
        <is>
          <t>AD-CRM-PUR-07</t>
        </is>
      </c>
      <c r="C125" s="58" t="inlineStr">
        <is>
          <t>CRM</t>
        </is>
      </c>
      <c r="D125" s="58" t="inlineStr">
        <is>
          <t>Purchase order</t>
        </is>
      </c>
      <c r="E125" s="5" t="inlineStr">
        <is>
          <t>Attach customer PO</t>
        </is>
      </c>
      <c r="F125" s="45" t="inlineStr">
        <is>
          <t>Hành động</t>
        </is>
      </c>
      <c r="G125" s="6" t="inlineStr">
        <is>
          <t>Gắn số PO và file PO của khách (nếu bên mua có quy trình mua hàng) — chỉ là bằng chứng, không đổi trạng thái.</t>
        </is>
      </c>
      <c r="H125" s="6" t="inlineStr">
        <is>
          <t>admin-purchase-orders</t>
        </is>
      </c>
      <c r="I125" s="6" t="inlineStr">
        <is>
          <t>/wireframe/admin?screen=admin-purchase-orders</t>
        </is>
      </c>
      <c r="J125" s="6" t="inlineStr">
        <is>
          <t>CRM → Purchase order</t>
        </is>
      </c>
      <c r="K125" s="26" t="inlineStr">
        <is>
          <t>Luan</t>
        </is>
      </c>
      <c r="L125" s="29" t="inlineStr"/>
      <c r="M125" s="30" t="inlineStr"/>
      <c r="N125" s="29" t="inlineStr"/>
    </row>
    <row r="126" ht="28" customHeight="1">
      <c r="A126" s="26" t="n">
        <v>123</v>
      </c>
      <c r="B126" s="5" t="inlineStr">
        <is>
          <t>AD-CRM-PUR-08</t>
        </is>
      </c>
      <c r="C126" s="58" t="inlineStr">
        <is>
          <t>CRM</t>
        </is>
      </c>
      <c r="D126" s="58" t="inlineStr">
        <is>
          <t>Purchase order</t>
        </is>
      </c>
      <c r="E126" s="5" t="inlineStr">
        <is>
          <t>Issue PO</t>
        </is>
      </c>
      <c r="F126" s="45" t="inlineStr">
        <is>
          <t>Hành động</t>
        </is>
      </c>
      <c r="G126" s="6" t="inlineStr">
        <is>
          <t>Tạo PO từ đúng một option đã chấp nhận. PO không có trạng thái Draft và không có nút huỷ.</t>
        </is>
      </c>
      <c r="H126" s="6" t="inlineStr">
        <is>
          <t>admin-purchase-orders</t>
        </is>
      </c>
      <c r="I126" s="6" t="inlineStr">
        <is>
          <t>/wireframe/admin?screen=admin-purchase-orders</t>
        </is>
      </c>
      <c r="J126" s="6" t="inlineStr">
        <is>
          <t>CRM → Purchase order</t>
        </is>
      </c>
      <c r="K126" s="26" t="inlineStr">
        <is>
          <t>Luan</t>
        </is>
      </c>
      <c r="L126" s="29" t="inlineStr"/>
      <c r="M126" s="30" t="inlineStr"/>
      <c r="N126" s="29" t="inlineStr"/>
    </row>
    <row r="127" ht="28" customHeight="1">
      <c r="A127" s="31" t="n">
        <v>124</v>
      </c>
      <c r="B127" s="32" t="inlineStr">
        <is>
          <t>AD-CRM-INV-01</t>
        </is>
      </c>
      <c r="C127" s="57" t="inlineStr">
        <is>
          <t>CRM</t>
        </is>
      </c>
      <c r="D127" s="57" t="inlineStr">
        <is>
          <t>Invoice</t>
        </is>
      </c>
      <c r="E127" s="32" t="inlineStr">
        <is>
          <t>All</t>
        </is>
      </c>
      <c r="F127" s="40" t="inlineStr">
        <is>
          <t>Tab trạng thái</t>
        </is>
      </c>
      <c r="G127" s="35" t="inlineStr">
        <is>
          <t>Toàn bộ hoá đơn.</t>
        </is>
      </c>
      <c r="H127" s="35" t="inlineStr">
        <is>
          <t>admin-invoices</t>
        </is>
      </c>
      <c r="I127" s="35" t="inlineStr">
        <is>
          <t>/wireframe/admin?screen=admin-invoices</t>
        </is>
      </c>
      <c r="J127" s="35" t="inlineStr">
        <is>
          <t>CRM → Invoice (VAT e-invoice)</t>
        </is>
      </c>
      <c r="K127" s="31" t="inlineStr">
        <is>
          <t>Luan</t>
        </is>
      </c>
      <c r="L127" s="36" t="inlineStr"/>
      <c r="M127" s="37" t="inlineStr"/>
      <c r="N127" s="36" t="inlineStr"/>
    </row>
    <row r="128" ht="28" customHeight="1">
      <c r="A128" s="26" t="n">
        <v>125</v>
      </c>
      <c r="B128" s="5" t="inlineStr">
        <is>
          <t>AD-CRM-INV-02</t>
        </is>
      </c>
      <c r="C128" s="58" t="inlineStr">
        <is>
          <t>CRM</t>
        </is>
      </c>
      <c r="D128" s="58" t="inlineStr">
        <is>
          <t>Invoice</t>
        </is>
      </c>
      <c r="E128" s="5" t="inlineStr">
        <is>
          <t>Issued</t>
        </is>
      </c>
      <c r="F128" s="42" t="inlineStr">
        <is>
          <t>Tab trạng thái</t>
        </is>
      </c>
      <c r="G128" s="6" t="inlineStr">
        <is>
          <t>Đã ký số và có số hoá đơn pháp lý.</t>
        </is>
      </c>
      <c r="H128" s="6" t="inlineStr">
        <is>
          <t>admin-invoices</t>
        </is>
      </c>
      <c r="I128" s="6" t="inlineStr">
        <is>
          <t>/wireframe/admin?screen=admin-invoices</t>
        </is>
      </c>
      <c r="J128" s="6" t="inlineStr">
        <is>
          <t>CRM → Invoice (VAT e-invoice)</t>
        </is>
      </c>
      <c r="K128" s="26" t="inlineStr">
        <is>
          <t>Luan</t>
        </is>
      </c>
      <c r="L128" s="29" t="inlineStr"/>
      <c r="M128" s="30" t="inlineStr"/>
      <c r="N128" s="29" t="inlineStr"/>
    </row>
    <row r="129" ht="28" customHeight="1">
      <c r="A129" s="26" t="n">
        <v>126</v>
      </c>
      <c r="B129" s="5" t="inlineStr">
        <is>
          <t>AD-CRM-INV-03</t>
        </is>
      </c>
      <c r="C129" s="58" t="inlineStr">
        <is>
          <t>CRM</t>
        </is>
      </c>
      <c r="D129" s="58" t="inlineStr">
        <is>
          <t>Invoice</t>
        </is>
      </c>
      <c r="E129" s="5" t="inlineStr">
        <is>
          <t>Cancelled / replaced</t>
        </is>
      </c>
      <c r="F129" s="42" t="inlineStr">
        <is>
          <t>Tab trạng thái</t>
        </is>
      </c>
      <c r="G129" s="6" t="inlineStr">
        <is>
          <t>Đã huỷ hoặc bị thay bằng hoá đơn khác — hai bản luôn liên kết với nhau.</t>
        </is>
      </c>
      <c r="H129" s="6" t="inlineStr">
        <is>
          <t>admin-invoices</t>
        </is>
      </c>
      <c r="I129" s="6" t="inlineStr">
        <is>
          <t>/wireframe/admin?screen=admin-invoices</t>
        </is>
      </c>
      <c r="J129" s="6" t="inlineStr">
        <is>
          <t>CRM → Invoice (VAT e-invoice)</t>
        </is>
      </c>
      <c r="K129" s="26" t="inlineStr">
        <is>
          <t>Luan</t>
        </is>
      </c>
      <c r="L129" s="29" t="inlineStr"/>
      <c r="M129" s="30" t="inlineStr"/>
      <c r="N129" s="29" t="inlineStr"/>
    </row>
    <row r="130" ht="28" customHeight="1">
      <c r="A130" s="26" t="n">
        <v>127</v>
      </c>
      <c r="B130" s="5" t="inlineStr">
        <is>
          <t>AD-CRM-INV-04</t>
        </is>
      </c>
      <c r="C130" s="58" t="inlineStr">
        <is>
          <t>CRM</t>
        </is>
      </c>
      <c r="D130" s="58" t="inlineStr">
        <is>
          <t>Invoice</t>
        </is>
      </c>
      <c r="E130" s="5" t="inlineStr">
        <is>
          <t>Activation expiring</t>
        </is>
      </c>
      <c r="F130" s="42" t="inlineStr">
        <is>
          <t>Tab trạng thái</t>
        </is>
      </c>
      <c r="G130" s="6" t="inlineStr">
        <is>
          <t>Quota đã mua sắp hết hạn kích hoạt — hàng đợi nhắc khách dùng.</t>
        </is>
      </c>
      <c r="H130" s="6" t="inlineStr">
        <is>
          <t>admin-invoices</t>
        </is>
      </c>
      <c r="I130" s="6" t="inlineStr">
        <is>
          <t>/wireframe/admin?screen=admin-invoices</t>
        </is>
      </c>
      <c r="J130" s="6" t="inlineStr">
        <is>
          <t>CRM → Invoice (VAT e-invoice)</t>
        </is>
      </c>
      <c r="K130" s="26" t="inlineStr">
        <is>
          <t>Luan</t>
        </is>
      </c>
      <c r="L130" s="29" t="inlineStr"/>
      <c r="M130" s="30" t="inlineStr"/>
      <c r="N130" s="29" t="inlineStr"/>
    </row>
    <row r="131" ht="28" customHeight="1">
      <c r="A131" s="26" t="n">
        <v>128</v>
      </c>
      <c r="B131" s="5" t="inlineStr">
        <is>
          <t>AD-CRM-INV-05</t>
        </is>
      </c>
      <c r="C131" s="58" t="inlineStr">
        <is>
          <t>CRM</t>
        </is>
      </c>
      <c r="D131" s="58" t="inlineStr">
        <is>
          <t>Invoice</t>
        </is>
      </c>
      <c r="E131" s="5" t="inlineStr">
        <is>
          <t>Bảng danh sách</t>
        </is>
      </c>
      <c r="F131" s="38" t="inlineStr">
        <is>
          <t>Bảng danh sách</t>
        </is>
      </c>
      <c r="G131" s="6" t="inlineStr">
        <is>
          <t>Số nội bộ INV-… và số pháp lý của nhà cung cấp · PO · payment · khách hàng · tổng · ngày xuất · “Activate by”.</t>
        </is>
      </c>
      <c r="H131" s="6" t="inlineStr">
        <is>
          <t>admin-invoices</t>
        </is>
      </c>
      <c r="I131" s="6" t="inlineStr">
        <is>
          <t>/wireframe/admin?screen=admin-invoices</t>
        </is>
      </c>
      <c r="J131" s="6" t="inlineStr">
        <is>
          <t>CRM → Invoice (VAT e-invoice)</t>
        </is>
      </c>
      <c r="K131" s="26" t="inlineStr">
        <is>
          <t>Luan</t>
        </is>
      </c>
      <c r="L131" s="29" t="inlineStr"/>
      <c r="M131" s="30" t="inlineStr"/>
      <c r="N131" s="29" t="inlineStr"/>
    </row>
    <row r="132" ht="28" customHeight="1">
      <c r="A132" s="26" t="n">
        <v>129</v>
      </c>
      <c r="B132" s="5" t="inlineStr">
        <is>
          <t>AD-CRM-INV-06</t>
        </is>
      </c>
      <c r="C132" s="58" t="inlineStr">
        <is>
          <t>CRM</t>
        </is>
      </c>
      <c r="D132" s="58" t="inlineStr">
        <is>
          <t>Invoice</t>
        </is>
      </c>
      <c r="E132" s="5" t="inlineStr">
        <is>
          <t>Invoice detail + PDF / XML</t>
        </is>
      </c>
      <c r="F132" s="44" t="inlineStr">
        <is>
          <t>Trang chi tiết</t>
        </is>
      </c>
      <c r="G132" s="6" t="inlineStr">
        <is>
          <t>Bản hoá đơn tải về được, khớp từng dòng với PO.</t>
        </is>
      </c>
      <c r="H132" s="6" t="inlineStr">
        <is>
          <t>admin-invoices</t>
        </is>
      </c>
      <c r="I132" s="6" t="inlineStr">
        <is>
          <t>/wireframe/admin?screen=admin-invoices</t>
        </is>
      </c>
      <c r="J132" s="6" t="inlineStr">
        <is>
          <t>CRM → Invoice (VAT e-invoice)</t>
        </is>
      </c>
      <c r="K132" s="26" t="inlineStr">
        <is>
          <t>Luan</t>
        </is>
      </c>
      <c r="L132" s="29" t="inlineStr"/>
      <c r="M132" s="30" t="inlineStr"/>
      <c r="N132" s="29" t="inlineStr"/>
    </row>
    <row r="133" ht="28" customHeight="1">
      <c r="A133" s="26" t="n">
        <v>130</v>
      </c>
      <c r="B133" s="5" t="inlineStr">
        <is>
          <t>AD-CRM-INV-07</t>
        </is>
      </c>
      <c r="C133" s="58" t="inlineStr">
        <is>
          <t>CRM</t>
        </is>
      </c>
      <c r="D133" s="58" t="inlineStr">
        <is>
          <t>Invoice</t>
        </is>
      </c>
      <c r="E133" s="5" t="inlineStr">
        <is>
          <t>Issue VAT invoice</t>
        </is>
      </c>
      <c r="F133" s="45" t="inlineStr">
        <is>
          <t>Hành động</t>
        </is>
      </c>
      <c r="G133" s="6" t="inlineStr">
        <is>
          <t>Chỉ Kế toán. Không cần đã thanh toán. Đây là sự kiện cấp sản phẩm cho khách — ngay lập tức.</t>
        </is>
      </c>
      <c r="H133" s="6" t="inlineStr">
        <is>
          <t>admin-invoices</t>
        </is>
      </c>
      <c r="I133" s="6" t="inlineStr">
        <is>
          <t>/wireframe/admin?screen=admin-invoices</t>
        </is>
      </c>
      <c r="J133" s="6" t="inlineStr">
        <is>
          <t>CRM → Invoice (VAT e-invoice)</t>
        </is>
      </c>
      <c r="K133" s="26" t="inlineStr">
        <is>
          <t>Luan</t>
        </is>
      </c>
      <c r="L133" s="29" t="inlineStr"/>
      <c r="M133" s="30" t="inlineStr"/>
      <c r="N133" s="29" t="inlineStr"/>
    </row>
    <row r="134" ht="28" customHeight="1">
      <c r="A134" s="26" t="n">
        <v>131</v>
      </c>
      <c r="B134" s="5" t="inlineStr">
        <is>
          <t>AD-CRM-INV-08</t>
        </is>
      </c>
      <c r="C134" s="58" t="inlineStr">
        <is>
          <t>CRM</t>
        </is>
      </c>
      <c r="D134" s="58" t="inlineStr">
        <is>
          <t>Invoice</t>
        </is>
      </c>
      <c r="E134" s="5" t="inlineStr">
        <is>
          <t>Cancel + credit note + re-issue</t>
        </is>
      </c>
      <c r="F134" s="45" t="inlineStr">
        <is>
          <t>Hành động</t>
        </is>
      </c>
      <c r="G134" s="6" t="inlineStr">
        <is>
          <t>Chỉ Kế toán. Hoá đơn đã xuất không bao giờ được sửa; huỷ sẽ thu hồi quota đã cấp.</t>
        </is>
      </c>
      <c r="H134" s="6" t="inlineStr">
        <is>
          <t>admin-invoices</t>
        </is>
      </c>
      <c r="I134" s="6" t="inlineStr">
        <is>
          <t>/wireframe/admin?screen=admin-invoices</t>
        </is>
      </c>
      <c r="J134" s="6" t="inlineStr">
        <is>
          <t>CRM → Invoice (VAT e-invoice)</t>
        </is>
      </c>
      <c r="K134" s="26" t="inlineStr">
        <is>
          <t>Luan</t>
        </is>
      </c>
      <c r="L134" s="29" t="inlineStr"/>
      <c r="M134" s="30" t="inlineStr"/>
      <c r="N134" s="29" t="inlineStr"/>
    </row>
    <row r="135" ht="28" customHeight="1">
      <c r="A135" s="31" t="n">
        <v>132</v>
      </c>
      <c r="B135" s="32" t="inlineStr">
        <is>
          <t>AD-CRM-SIG-01</t>
        </is>
      </c>
      <c r="C135" s="57" t="inlineStr">
        <is>
          <t>CRM</t>
        </is>
      </c>
      <c r="D135" s="57" t="inlineStr">
        <is>
          <t>Sign-ups</t>
        </is>
      </c>
      <c r="E135" s="32" t="inlineStr">
        <is>
          <t>All</t>
        </is>
      </c>
      <c r="F135" s="40" t="inlineStr">
        <is>
          <t>Tab trạng thái</t>
        </is>
      </c>
      <c r="G135" s="35" t="inlineStr">
        <is>
          <t>Toàn bộ đăng ký tự phục vụ từ phía nhà tuyển dụng.</t>
        </is>
      </c>
      <c r="H135" s="35" t="inlineStr">
        <is>
          <t>admin-signups</t>
        </is>
      </c>
      <c r="I135" s="35" t="inlineStr">
        <is>
          <t>/wireframe/admin?screen=admin-signups</t>
        </is>
      </c>
      <c r="J135" s="35" t="inlineStr">
        <is>
          <t>CRM → Sign-ups</t>
        </is>
      </c>
      <c r="K135" s="31" t="inlineStr">
        <is>
          <t>Luan</t>
        </is>
      </c>
      <c r="L135" s="36" t="inlineStr"/>
      <c r="M135" s="37" t="inlineStr"/>
      <c r="N135" s="36" t="inlineStr"/>
    </row>
    <row r="136" ht="28" customHeight="1">
      <c r="A136" s="26" t="n">
        <v>133</v>
      </c>
      <c r="B136" s="5" t="inlineStr">
        <is>
          <t>AD-CRM-SIG-02</t>
        </is>
      </c>
      <c r="C136" s="58" t="inlineStr">
        <is>
          <t>CRM</t>
        </is>
      </c>
      <c r="D136" s="58" t="inlineStr">
        <is>
          <t>Sign-ups</t>
        </is>
      </c>
      <c r="E136" s="5" t="inlineStr">
        <is>
          <t>New</t>
        </is>
      </c>
      <c r="F136" s="42" t="inlineStr">
        <is>
          <t>Tab trạng thái</t>
        </is>
      </c>
      <c r="G136" s="6" t="inlineStr">
        <is>
          <t>Chưa xử lý. Một đăng ký tự nó không cấp gì cả.</t>
        </is>
      </c>
      <c r="H136" s="6" t="inlineStr">
        <is>
          <t>admin-signups</t>
        </is>
      </c>
      <c r="I136" s="6" t="inlineStr">
        <is>
          <t>/wireframe/admin?screen=admin-signups</t>
        </is>
      </c>
      <c r="J136" s="6" t="inlineStr">
        <is>
          <t>CRM → Sign-ups</t>
        </is>
      </c>
      <c r="K136" s="26" t="inlineStr">
        <is>
          <t>Luan</t>
        </is>
      </c>
      <c r="L136" s="29" t="inlineStr"/>
      <c r="M136" s="30" t="inlineStr"/>
      <c r="N136" s="29" t="inlineStr"/>
    </row>
    <row r="137" ht="28" customHeight="1">
      <c r="A137" s="26" t="n">
        <v>134</v>
      </c>
      <c r="B137" s="5" t="inlineStr">
        <is>
          <t>AD-CRM-SIG-03</t>
        </is>
      </c>
      <c r="C137" s="58" t="inlineStr">
        <is>
          <t>CRM</t>
        </is>
      </c>
      <c r="D137" s="58" t="inlineStr">
        <is>
          <t>Sign-ups</t>
        </is>
      </c>
      <c r="E137" s="5" t="inlineStr">
        <is>
          <t>Resolved</t>
        </is>
      </c>
      <c r="F137" s="42" t="inlineStr">
        <is>
          <t>Tab trạng thái</t>
        </is>
      </c>
      <c r="G137" s="6" t="inlineStr">
        <is>
          <t>Đã gắn vào một công ty.</t>
        </is>
      </c>
      <c r="H137" s="6" t="inlineStr">
        <is>
          <t>admin-signups</t>
        </is>
      </c>
      <c r="I137" s="6" t="inlineStr">
        <is>
          <t>/wireframe/admin?screen=admin-signups</t>
        </is>
      </c>
      <c r="J137" s="6" t="inlineStr">
        <is>
          <t>CRM → Sign-ups</t>
        </is>
      </c>
      <c r="K137" s="26" t="inlineStr">
        <is>
          <t>Luan</t>
        </is>
      </c>
      <c r="L137" s="29" t="inlineStr"/>
      <c r="M137" s="30" t="inlineStr"/>
      <c r="N137" s="29" t="inlineStr"/>
    </row>
    <row r="138" ht="28" customHeight="1">
      <c r="A138" s="26" t="n">
        <v>135</v>
      </c>
      <c r="B138" s="5" t="inlineStr">
        <is>
          <t>AD-CRM-SIG-04</t>
        </is>
      </c>
      <c r="C138" s="58" t="inlineStr">
        <is>
          <t>CRM</t>
        </is>
      </c>
      <c r="D138" s="58" t="inlineStr">
        <is>
          <t>Sign-ups</t>
        </is>
      </c>
      <c r="E138" s="5" t="inlineStr">
        <is>
          <t>Archived</t>
        </is>
      </c>
      <c r="F138" s="42" t="inlineStr">
        <is>
          <t>Tab trạng thái</t>
        </is>
      </c>
      <c r="G138" s="6" t="inlineStr">
        <is>
          <t>Đã bỏ qua.</t>
        </is>
      </c>
      <c r="H138" s="6" t="inlineStr">
        <is>
          <t>admin-signups</t>
        </is>
      </c>
      <c r="I138" s="6" t="inlineStr">
        <is>
          <t>/wireframe/admin?screen=admin-signups</t>
        </is>
      </c>
      <c r="J138" s="6" t="inlineStr">
        <is>
          <t>CRM → Sign-ups</t>
        </is>
      </c>
      <c r="K138" s="26" t="inlineStr">
        <is>
          <t>Luan</t>
        </is>
      </c>
      <c r="L138" s="29" t="inlineStr"/>
      <c r="M138" s="30" t="inlineStr"/>
      <c r="N138" s="29" t="inlineStr"/>
    </row>
    <row r="139" ht="28" customHeight="1">
      <c r="A139" s="26" t="n">
        <v>136</v>
      </c>
      <c r="B139" s="5" t="inlineStr">
        <is>
          <t>AD-CRM-SIG-05</t>
        </is>
      </c>
      <c r="C139" s="58" t="inlineStr">
        <is>
          <t>CRM</t>
        </is>
      </c>
      <c r="D139" s="58" t="inlineStr">
        <is>
          <t>Sign-ups</t>
        </is>
      </c>
      <c r="E139" s="5" t="inlineStr">
        <is>
          <t>Bảng danh sách</t>
        </is>
      </c>
      <c r="F139" s="38" t="inlineStr">
        <is>
          <t>Bảng danh sách</t>
        </is>
      </c>
      <c r="G139" s="6" t="inlineStr">
        <is>
          <t>Người đăng ký · email · công ty khai báo · thời điểm.</t>
        </is>
      </c>
      <c r="H139" s="6" t="inlineStr">
        <is>
          <t>admin-signups</t>
        </is>
      </c>
      <c r="I139" s="6" t="inlineStr">
        <is>
          <t>/wireframe/admin?screen=admin-signups</t>
        </is>
      </c>
      <c r="J139" s="6" t="inlineStr">
        <is>
          <t>CRM → Sign-ups</t>
        </is>
      </c>
      <c r="K139" s="26" t="inlineStr">
        <is>
          <t>Luan</t>
        </is>
      </c>
      <c r="L139" s="29" t="inlineStr"/>
      <c r="M139" s="30" t="inlineStr"/>
      <c r="N139" s="29" t="inlineStr"/>
    </row>
    <row r="140" ht="28" customHeight="1">
      <c r="A140" s="26" t="n">
        <v>137</v>
      </c>
      <c r="B140" s="5" t="inlineStr">
        <is>
          <t>AD-CRM-SIG-06</t>
        </is>
      </c>
      <c r="C140" s="58" t="inlineStr">
        <is>
          <t>CRM</t>
        </is>
      </c>
      <c r="D140" s="58" t="inlineStr">
        <is>
          <t>Sign-ups</t>
        </is>
      </c>
      <c r="E140" s="5" t="inlineStr">
        <is>
          <t>Move to existing company</t>
        </is>
      </c>
      <c r="F140" s="45" t="inlineStr">
        <is>
          <t>Hành động</t>
        </is>
      </c>
      <c r="G140" s="6" t="inlineStr">
        <is>
          <t>Đưa user vào công ty đã có + gửi email kích hoạt.</t>
        </is>
      </c>
      <c r="H140" s="6" t="inlineStr">
        <is>
          <t>admin-signups</t>
        </is>
      </c>
      <c r="I140" s="6" t="inlineStr">
        <is>
          <t>/wireframe/admin?screen=admin-signups</t>
        </is>
      </c>
      <c r="J140" s="6" t="inlineStr">
        <is>
          <t>CRM → Sign-ups</t>
        </is>
      </c>
      <c r="K140" s="26" t="inlineStr">
        <is>
          <t>Luan</t>
        </is>
      </c>
      <c r="L140" s="29" t="inlineStr"/>
      <c r="M140" s="30" t="inlineStr"/>
      <c r="N140" s="29" t="inlineStr"/>
    </row>
    <row r="141" ht="28" customHeight="1">
      <c r="A141" s="26" t="n">
        <v>138</v>
      </c>
      <c r="B141" s="5" t="inlineStr">
        <is>
          <t>AD-CRM-SIG-07</t>
        </is>
      </c>
      <c r="C141" s="58" t="inlineStr">
        <is>
          <t>CRM</t>
        </is>
      </c>
      <c r="D141" s="58" t="inlineStr">
        <is>
          <t>Sign-ups</t>
        </is>
      </c>
      <c r="E141" s="5" t="inlineStr">
        <is>
          <t>Create new company + move user</t>
        </is>
      </c>
      <c r="F141" s="45" t="inlineStr">
        <is>
          <t>Hành động</t>
        </is>
      </c>
      <c r="G141" s="6" t="inlineStr">
        <is>
          <t>Tạo công ty mới rồi đưa user vào + gửi email kích hoạt.</t>
        </is>
      </c>
      <c r="H141" s="6" t="inlineStr">
        <is>
          <t>admin-signups</t>
        </is>
      </c>
      <c r="I141" s="6" t="inlineStr">
        <is>
          <t>/wireframe/admin?screen=admin-signups</t>
        </is>
      </c>
      <c r="J141" s="6" t="inlineStr">
        <is>
          <t>CRM → Sign-ups</t>
        </is>
      </c>
      <c r="K141" s="26" t="inlineStr">
        <is>
          <t>Luan</t>
        </is>
      </c>
      <c r="L141" s="29" t="inlineStr"/>
      <c r="M141" s="30" t="inlineStr"/>
      <c r="N141" s="29" t="inlineStr"/>
    </row>
    <row r="142" ht="28" customHeight="1">
      <c r="A142" s="26" t="n">
        <v>139</v>
      </c>
      <c r="B142" s="5" t="inlineStr">
        <is>
          <t>AD-CRM-SIG-08</t>
        </is>
      </c>
      <c r="C142" s="58" t="inlineStr">
        <is>
          <t>CRM</t>
        </is>
      </c>
      <c r="D142" s="58" t="inlineStr">
        <is>
          <t>Sign-ups</t>
        </is>
      </c>
      <c r="E142" s="5" t="inlineStr">
        <is>
          <t>Archive</t>
        </is>
      </c>
      <c r="F142" s="45" t="inlineStr">
        <is>
          <t>Hành động</t>
        </is>
      </c>
      <c r="G142" s="6" t="inlineStr">
        <is>
          <t>Bỏ qua đăng ký này.</t>
        </is>
      </c>
      <c r="H142" s="6" t="inlineStr">
        <is>
          <t>admin-signups</t>
        </is>
      </c>
      <c r="I142" s="6" t="inlineStr">
        <is>
          <t>/wireframe/admin?screen=admin-signups</t>
        </is>
      </c>
      <c r="J142" s="6" t="inlineStr">
        <is>
          <t>CRM → Sign-ups</t>
        </is>
      </c>
      <c r="K142" s="26" t="inlineStr">
        <is>
          <t>Luan</t>
        </is>
      </c>
      <c r="L142" s="29" t="inlineStr"/>
      <c r="M142" s="30" t="inlineStr"/>
      <c r="N142" s="29" t="inlineStr"/>
    </row>
    <row r="143" ht="40.5" customHeight="1">
      <c r="A143" s="31" t="n">
        <v>140</v>
      </c>
      <c r="B143" s="32" t="inlineStr">
        <is>
          <t>AD-CRM-ACC-01</t>
        </is>
      </c>
      <c r="C143" s="57" t="inlineStr">
        <is>
          <t>CRM</t>
        </is>
      </c>
      <c r="D143" s="57" t="inlineStr">
        <is>
          <t>Account usage</t>
        </is>
      </c>
      <c r="E143" s="32" t="inlineStr">
        <is>
          <t>Bảng usage</t>
        </is>
      </c>
      <c r="F143" s="54" t="inlineStr">
        <is>
          <t>Bảng danh sách</t>
        </is>
      </c>
      <c r="G143" s="35" t="inlineStr">
        <is>
          <t>Khách hàng · Job slots · CV unlocks · Placements · Manual services · phần chưa dùng — màn hình sales mở trước cuộc gọi gia hạn.</t>
        </is>
      </c>
      <c r="H143" s="35" t="inlineStr">
        <is>
          <t>admin-account-usage</t>
        </is>
      </c>
      <c r="I143" s="35" t="inlineStr">
        <is>
          <t>/wireframe/admin?screen=admin-account-usage</t>
        </is>
      </c>
      <c r="J143" s="35" t="inlineStr">
        <is>
          <t>CRM → Account usage</t>
        </is>
      </c>
      <c r="K143" s="31" t="inlineStr">
        <is>
          <t>Luan</t>
        </is>
      </c>
      <c r="L143" s="36" t="inlineStr"/>
      <c r="M143" s="37" t="inlineStr"/>
      <c r="N143" s="36" t="inlineStr"/>
    </row>
    <row r="144" ht="28" customHeight="1">
      <c r="A144" s="26" t="n">
        <v>141</v>
      </c>
      <c r="B144" s="5" t="inlineStr">
        <is>
          <t>AD-CRM-ACC-02</t>
        </is>
      </c>
      <c r="C144" s="58" t="inlineStr">
        <is>
          <t>CRM</t>
        </is>
      </c>
      <c r="D144" s="58" t="inlineStr">
        <is>
          <t>Account usage</t>
        </is>
      </c>
      <c r="E144" s="5" t="inlineStr">
        <is>
          <t>Bộ lọc + sắp xếp</t>
        </is>
      </c>
      <c r="F144" s="43" t="inlineStr">
        <is>
          <t>Bộ lọc</t>
        </is>
      </c>
      <c r="G144" s="6" t="inlineStr">
        <is>
          <t>Lọc “còn nhiều chưa dùng” / “sắp dùng hết”; sắp xếp theo phần chưa dùng hoặc % đã tiêu.</t>
        </is>
      </c>
      <c r="H144" s="6" t="inlineStr">
        <is>
          <t>admin-account-usage</t>
        </is>
      </c>
      <c r="I144" s="6" t="inlineStr">
        <is>
          <t>/wireframe/admin?screen=admin-account-usage</t>
        </is>
      </c>
      <c r="J144" s="6" t="inlineStr">
        <is>
          <t>CRM → Account usage</t>
        </is>
      </c>
      <c r="K144" s="26" t="inlineStr">
        <is>
          <t>Luan</t>
        </is>
      </c>
      <c r="L144" s="29" t="inlineStr"/>
      <c r="M144" s="30" t="inlineStr"/>
      <c r="N144" s="29" t="inlineStr"/>
    </row>
    <row r="145" ht="28" customHeight="1">
      <c r="A145" s="31" t="n">
        <v>142</v>
      </c>
      <c r="B145" s="32" t="inlineStr">
        <is>
          <t>AD-PRO-PRO-01</t>
        </is>
      </c>
      <c r="C145" s="59" t="inlineStr">
        <is>
          <t>Products</t>
        </is>
      </c>
      <c r="D145" s="59" t="inlineStr">
        <is>
          <t>Products</t>
        </is>
      </c>
      <c r="E145" s="32" t="inlineStr">
        <is>
          <t>Bộ lọc Type + Status</t>
        </is>
      </c>
      <c r="F145" s="48" t="inlineStr">
        <is>
          <t>Bộ lọc</t>
        </is>
      </c>
      <c r="G145" s="35" t="inlineStr">
        <is>
          <t>Type (Posting tier · Placement booking · Credit pack · Add-on · Manual service) và Status là hai dropdown dùng đồng thời.</t>
        </is>
      </c>
      <c r="H145" s="35" t="inlineStr">
        <is>
          <t>admin-catalog</t>
        </is>
      </c>
      <c r="I145" s="35" t="inlineStr">
        <is>
          <t>/wireframe/admin?screen=admin-catalog</t>
        </is>
      </c>
      <c r="J145" s="35" t="inlineStr">
        <is>
          <t>Products &amp; packages → Products management</t>
        </is>
      </c>
      <c r="K145" s="31" t="inlineStr">
        <is>
          <t>Luan</t>
        </is>
      </c>
      <c r="L145" s="36" t="inlineStr"/>
      <c r="M145" s="37" t="inlineStr"/>
      <c r="N145" s="36" t="inlineStr"/>
    </row>
    <row r="146" ht="28" customHeight="1">
      <c r="A146" s="26" t="n">
        <v>143</v>
      </c>
      <c r="B146" s="5" t="inlineStr">
        <is>
          <t>AD-PRO-PRO-02</t>
        </is>
      </c>
      <c r="C146" s="60" t="inlineStr">
        <is>
          <t>Products</t>
        </is>
      </c>
      <c r="D146" s="60" t="inlineStr">
        <is>
          <t>Products</t>
        </is>
      </c>
      <c r="E146" s="5" t="inlineStr">
        <is>
          <t>Bảng danh sách</t>
        </is>
      </c>
      <c r="F146" s="38" t="inlineStr">
        <is>
          <t>Bảng danh sách</t>
        </is>
      </c>
      <c r="G146" s="6" t="inlineStr">
        <is>
          <t>SKU · tên · type · giá · tóm tắt thứ khách nhận · validity · status · sold count.</t>
        </is>
      </c>
      <c r="H146" s="6" t="inlineStr">
        <is>
          <t>admin-catalog</t>
        </is>
      </c>
      <c r="I146" s="6" t="inlineStr">
        <is>
          <t>/wireframe/admin?screen=admin-catalog</t>
        </is>
      </c>
      <c r="J146" s="6" t="inlineStr">
        <is>
          <t>Products &amp; packages → Products management</t>
        </is>
      </c>
      <c r="K146" s="26" t="inlineStr">
        <is>
          <t>Luan</t>
        </is>
      </c>
      <c r="L146" s="29" t="inlineStr"/>
      <c r="M146" s="30" t="inlineStr"/>
      <c r="N146" s="29" t="inlineStr"/>
    </row>
    <row r="147" ht="28" customHeight="1">
      <c r="A147" s="26" t="n">
        <v>144</v>
      </c>
      <c r="B147" s="5" t="inlineStr">
        <is>
          <t>AD-PRO-PRO-03</t>
        </is>
      </c>
      <c r="C147" s="60" t="inlineStr">
        <is>
          <t>Products</t>
        </is>
      </c>
      <c r="D147" s="60" t="inlineStr">
        <is>
          <t>Products</t>
        </is>
      </c>
      <c r="E147" s="5" t="inlineStr">
        <is>
          <t>New product — 1 · Type</t>
        </is>
      </c>
      <c r="F147" s="46" t="inlineStr">
        <is>
          <t>Bước trong form</t>
        </is>
      </c>
      <c r="G147" s="6" t="inlineStr">
        <is>
          <t>Chọn loại; chỉ các trường fulfilment của loại đó hiện ra.</t>
        </is>
      </c>
      <c r="H147" s="6" t="inlineStr">
        <is>
          <t>admin-catalog</t>
        </is>
      </c>
      <c r="I147" s="6" t="inlineStr">
        <is>
          <t>/wireframe/admin?screen=admin-catalog</t>
        </is>
      </c>
      <c r="J147" s="6" t="inlineStr">
        <is>
          <t>Products &amp; packages → Products management</t>
        </is>
      </c>
      <c r="K147" s="26" t="inlineStr">
        <is>
          <t>Luan</t>
        </is>
      </c>
      <c r="L147" s="29" t="inlineStr"/>
      <c r="M147" s="30" t="inlineStr"/>
      <c r="N147" s="29" t="inlineStr"/>
    </row>
    <row r="148" ht="28" customHeight="1">
      <c r="A148" s="26" t="n">
        <v>145</v>
      </c>
      <c r="B148" s="5" t="inlineStr">
        <is>
          <t>AD-PRO-PRO-04</t>
        </is>
      </c>
      <c r="C148" s="60" t="inlineStr">
        <is>
          <t>Products</t>
        </is>
      </c>
      <c r="D148" s="60" t="inlineStr">
        <is>
          <t>Products</t>
        </is>
      </c>
      <c r="E148" s="5" t="inlineStr">
        <is>
          <t>New product — 2 · Identity</t>
        </is>
      </c>
      <c r="F148" s="46" t="inlineStr">
        <is>
          <t>Bước trong form</t>
        </is>
      </c>
      <c r="G148" s="6" t="inlineStr">
        <is>
          <t>SKU (không đổi được sau lần bán đầu) · tên VI/EN · mô tả · main product hay add-on.</t>
        </is>
      </c>
      <c r="H148" s="6" t="inlineStr">
        <is>
          <t>admin-catalog</t>
        </is>
      </c>
      <c r="I148" s="6" t="inlineStr">
        <is>
          <t>/wireframe/admin?screen=admin-catalog</t>
        </is>
      </c>
      <c r="J148" s="6" t="inlineStr">
        <is>
          <t>Products &amp; packages → Products management</t>
        </is>
      </c>
      <c r="K148" s="26" t="inlineStr">
        <is>
          <t>Luan</t>
        </is>
      </c>
      <c r="L148" s="29" t="inlineStr"/>
      <c r="M148" s="30" t="inlineStr"/>
      <c r="N148" s="29" t="inlineStr"/>
    </row>
    <row r="149" ht="40.5" customHeight="1">
      <c r="A149" s="26" t="n">
        <v>146</v>
      </c>
      <c r="B149" s="5" t="inlineStr">
        <is>
          <t>AD-PRO-PRO-05</t>
        </is>
      </c>
      <c r="C149" s="60" t="inlineStr">
        <is>
          <t>Products</t>
        </is>
      </c>
      <c r="D149" s="60" t="inlineStr">
        <is>
          <t>Products</t>
        </is>
      </c>
      <c r="E149" s="5" t="inlineStr">
        <is>
          <t>New product — 3 · Fulfilment</t>
        </is>
      </c>
      <c r="F149" s="46" t="inlineStr">
        <is>
          <t>Bước trong form</t>
        </is>
      </c>
      <c r="G149" s="6" t="inlineStr">
        <is>
          <t>Khách nhận gì: quota · validity · posting tier · placement · attachesTo · SLA · displayEffects · thời gian phải kích hoạt (mặc định 12 tháng).</t>
        </is>
      </c>
      <c r="H149" s="6" t="inlineStr">
        <is>
          <t>admin-catalog</t>
        </is>
      </c>
      <c r="I149" s="6" t="inlineStr">
        <is>
          <t>/wireframe/admin?screen=admin-catalog</t>
        </is>
      </c>
      <c r="J149" s="6" t="inlineStr">
        <is>
          <t>Products &amp; packages → Products management</t>
        </is>
      </c>
      <c r="K149" s="26" t="inlineStr">
        <is>
          <t>Luan</t>
        </is>
      </c>
      <c r="L149" s="29" t="inlineStr"/>
      <c r="M149" s="30" t="inlineStr"/>
      <c r="N149" s="29" t="inlineStr"/>
    </row>
    <row r="150" ht="28" customHeight="1">
      <c r="A150" s="26" t="n">
        <v>147</v>
      </c>
      <c r="B150" s="5" t="inlineStr">
        <is>
          <t>AD-PRO-PRO-06</t>
        </is>
      </c>
      <c r="C150" s="60" t="inlineStr">
        <is>
          <t>Products</t>
        </is>
      </c>
      <c r="D150" s="60" t="inlineStr">
        <is>
          <t>Products</t>
        </is>
      </c>
      <c r="E150" s="5" t="inlineStr">
        <is>
          <t>New product — 4 · Pricing</t>
        </is>
      </c>
      <c r="F150" s="46" t="inlineStr">
        <is>
          <t>Bước trong form</t>
        </is>
      </c>
      <c r="G150" s="6" t="inlineStr">
        <is>
          <t>Giá niêm yết · đơn vị · VAT · entitlementSource (Requires purchase / Always available).</t>
        </is>
      </c>
      <c r="H150" s="6" t="inlineStr">
        <is>
          <t>admin-catalog</t>
        </is>
      </c>
      <c r="I150" s="6" t="inlineStr">
        <is>
          <t>/wireframe/admin?screen=admin-catalog</t>
        </is>
      </c>
      <c r="J150" s="6" t="inlineStr">
        <is>
          <t>Products &amp; packages → Products management</t>
        </is>
      </c>
      <c r="K150" s="26" t="inlineStr">
        <is>
          <t>Luan</t>
        </is>
      </c>
      <c r="L150" s="29" t="inlineStr"/>
      <c r="M150" s="30" t="inlineStr"/>
      <c r="N150" s="29" t="inlineStr"/>
    </row>
    <row r="151" ht="28" customHeight="1">
      <c r="A151" s="26" t="n">
        <v>148</v>
      </c>
      <c r="B151" s="5" t="inlineStr">
        <is>
          <t>AD-PRO-PRO-07</t>
        </is>
      </c>
      <c r="C151" s="60" t="inlineStr">
        <is>
          <t>Products</t>
        </is>
      </c>
      <c r="D151" s="60" t="inlineStr">
        <is>
          <t>Products</t>
        </is>
      </c>
      <c r="E151" s="5" t="inlineStr">
        <is>
          <t>Product detail — bảng giá theo phân khúc</t>
        </is>
      </c>
      <c r="F151" s="28" t="inlineStr">
        <is>
          <t>Khối / Section</t>
        </is>
      </c>
      <c r="G151" s="6" t="inlineStr">
        <is>
          <t>Thay cho việc tạo nhiều SKU trùng nhau cho SME / Enterprise / thời hạn khác nhau.</t>
        </is>
      </c>
      <c r="H151" s="6" t="inlineStr">
        <is>
          <t>admin-catalog</t>
        </is>
      </c>
      <c r="I151" s="6" t="inlineStr">
        <is>
          <t>/wireframe/admin?screen=admin-catalog</t>
        </is>
      </c>
      <c r="J151" s="6" t="inlineStr">
        <is>
          <t>Products &amp; packages → Products management</t>
        </is>
      </c>
      <c r="K151" s="26" t="inlineStr">
        <is>
          <t>Luan</t>
        </is>
      </c>
      <c r="L151" s="29" t="inlineStr"/>
      <c r="M151" s="30" t="inlineStr"/>
      <c r="N151" s="29" t="inlineStr"/>
    </row>
    <row r="152" ht="28" customHeight="1">
      <c r="A152" s="26" t="n">
        <v>149</v>
      </c>
      <c r="B152" s="5" t="inlineStr">
        <is>
          <t>AD-PRO-PRO-08</t>
        </is>
      </c>
      <c r="C152" s="60" t="inlineStr">
        <is>
          <t>Products</t>
        </is>
      </c>
      <c r="D152" s="60" t="inlineStr">
        <is>
          <t>Products</t>
        </is>
      </c>
      <c r="E152" s="5" t="inlineStr">
        <is>
          <t>Product detail — lịch sử phiên bản</t>
        </is>
      </c>
      <c r="F152" s="28" t="inlineStr">
        <is>
          <t>Khối / Section</t>
        </is>
      </c>
      <c r="G152" s="6" t="inlineStr">
        <is>
          <t>Đổi giá sản phẩm đã bán tạo version mới; đơn cũ giữ nguyên giá đã bán.</t>
        </is>
      </c>
      <c r="H152" s="6" t="inlineStr">
        <is>
          <t>admin-catalog</t>
        </is>
      </c>
      <c r="I152" s="6" t="inlineStr">
        <is>
          <t>/wireframe/admin?screen=admin-catalog</t>
        </is>
      </c>
      <c r="J152" s="6" t="inlineStr">
        <is>
          <t>Products &amp; packages → Products management</t>
        </is>
      </c>
      <c r="K152" s="26" t="inlineStr">
        <is>
          <t>Luan</t>
        </is>
      </c>
      <c r="L152" s="29" t="inlineStr"/>
      <c r="M152" s="30" t="inlineStr"/>
      <c r="N152" s="29" t="inlineStr"/>
    </row>
    <row r="153" ht="28" customHeight="1">
      <c r="A153" s="26" t="n">
        <v>150</v>
      </c>
      <c r="B153" s="5" t="inlineStr">
        <is>
          <t>AD-PRO-PRO-09</t>
        </is>
      </c>
      <c r="C153" s="60" t="inlineStr">
        <is>
          <t>Products</t>
        </is>
      </c>
      <c r="D153" s="60" t="inlineStr">
        <is>
          <t>Products</t>
        </is>
      </c>
      <c r="E153" s="5" t="inlineStr">
        <is>
          <t>Activate / Deactivate / Duplicate / Archive</t>
        </is>
      </c>
      <c r="F153" s="45" t="inlineStr">
        <is>
          <t>Hành động</t>
        </is>
      </c>
      <c r="G153" s="6" t="inlineStr">
        <is>
          <t>Chỉ Active mới báo giá được. Sản phẩm đã bán không bao giờ xoá được.</t>
        </is>
      </c>
      <c r="H153" s="6" t="inlineStr">
        <is>
          <t>admin-catalog</t>
        </is>
      </c>
      <c r="I153" s="6" t="inlineStr">
        <is>
          <t>/wireframe/admin?screen=admin-catalog</t>
        </is>
      </c>
      <c r="J153" s="6" t="inlineStr">
        <is>
          <t>Products &amp; packages → Products management</t>
        </is>
      </c>
      <c r="K153" s="26" t="inlineStr">
        <is>
          <t>Luan</t>
        </is>
      </c>
      <c r="L153" s="29" t="inlineStr"/>
      <c r="M153" s="30" t="inlineStr"/>
      <c r="N153" s="29" t="inlineStr"/>
    </row>
    <row r="154" ht="28" customHeight="1">
      <c r="A154" s="31" t="n">
        <v>151</v>
      </c>
      <c r="B154" s="32" t="inlineStr">
        <is>
          <t>AD-PRO-PAC-01</t>
        </is>
      </c>
      <c r="C154" s="59" t="inlineStr">
        <is>
          <t>Products</t>
        </is>
      </c>
      <c r="D154" s="59" t="inlineStr">
        <is>
          <t>Packages</t>
        </is>
      </c>
      <c r="E154" s="32" t="inlineStr">
        <is>
          <t>Bảng danh sách</t>
        </is>
      </c>
      <c r="F154" s="54" t="inlineStr">
        <is>
          <t>Bảng danh sách</t>
        </is>
      </c>
      <c r="G154" s="35" t="inlineStr">
        <is>
          <t>Package · thành phần · giá gói · status.</t>
        </is>
      </c>
      <c r="H154" s="35" t="inlineStr">
        <is>
          <t>admin-bundles</t>
        </is>
      </c>
      <c r="I154" s="35" t="inlineStr">
        <is>
          <t>/wireframe/admin?screen=admin-bundles</t>
        </is>
      </c>
      <c r="J154" s="35" t="inlineStr">
        <is>
          <t>Products &amp; packages → Packages management</t>
        </is>
      </c>
      <c r="K154" s="31" t="inlineStr">
        <is>
          <t>Luan</t>
        </is>
      </c>
      <c r="L154" s="36" t="inlineStr"/>
      <c r="M154" s="37" t="inlineStr"/>
      <c r="N154" s="36" t="inlineStr"/>
    </row>
    <row r="155" ht="28" customHeight="1">
      <c r="A155" s="26" t="n">
        <v>152</v>
      </c>
      <c r="B155" s="5" t="inlineStr">
        <is>
          <t>AD-PRO-PAC-02</t>
        </is>
      </c>
      <c r="C155" s="60" t="inlineStr">
        <is>
          <t>Products</t>
        </is>
      </c>
      <c r="D155" s="60" t="inlineStr">
        <is>
          <t>Packages</t>
        </is>
      </c>
      <c r="E155" s="5" t="inlineStr">
        <is>
          <t>New package — 1 · Identity</t>
        </is>
      </c>
      <c r="F155" s="46" t="inlineStr">
        <is>
          <t>Bước trong form</t>
        </is>
      </c>
      <c r="G155" s="6" t="inlineStr">
        <is>
          <t>Tên gói và ghi chú.</t>
        </is>
      </c>
      <c r="H155" s="6" t="inlineStr">
        <is>
          <t>admin-bundles</t>
        </is>
      </c>
      <c r="I155" s="6" t="inlineStr">
        <is>
          <t>/wireframe/admin?screen=admin-bundles</t>
        </is>
      </c>
      <c r="J155" s="6" t="inlineStr">
        <is>
          <t>Products &amp; packages → Packages management</t>
        </is>
      </c>
      <c r="K155" s="26" t="inlineStr">
        <is>
          <t>Luan</t>
        </is>
      </c>
      <c r="L155" s="29" t="inlineStr"/>
      <c r="M155" s="30" t="inlineStr"/>
      <c r="N155" s="29" t="inlineStr"/>
    </row>
    <row r="156" ht="28" customHeight="1">
      <c r="A156" s="26" t="n">
        <v>153</v>
      </c>
      <c r="B156" s="5" t="inlineStr">
        <is>
          <t>AD-PRO-PAC-03</t>
        </is>
      </c>
      <c r="C156" s="60" t="inlineStr">
        <is>
          <t>Products</t>
        </is>
      </c>
      <c r="D156" s="60" t="inlineStr">
        <is>
          <t>Packages</t>
        </is>
      </c>
      <c r="E156" s="5" t="inlineStr">
        <is>
          <t>New package — 2 · Components</t>
        </is>
      </c>
      <c r="F156" s="46" t="inlineStr">
        <is>
          <t>Bước trong form</t>
        </is>
      </c>
      <c r="G156" s="6" t="inlineStr">
        <is>
          <t>Các sản phẩm nằm trong gói và số lượng.</t>
        </is>
      </c>
      <c r="H156" s="6" t="inlineStr">
        <is>
          <t>admin-bundles</t>
        </is>
      </c>
      <c r="I156" s="6" t="inlineStr">
        <is>
          <t>/wireframe/admin?screen=admin-bundles</t>
        </is>
      </c>
      <c r="J156" s="6" t="inlineStr">
        <is>
          <t>Products &amp; packages → Packages management</t>
        </is>
      </c>
      <c r="K156" s="26" t="inlineStr">
        <is>
          <t>Luan</t>
        </is>
      </c>
      <c r="L156" s="29" t="inlineStr"/>
      <c r="M156" s="30" t="inlineStr"/>
      <c r="N156" s="29" t="inlineStr"/>
    </row>
    <row r="157" ht="28" customHeight="1">
      <c r="A157" s="26" t="n">
        <v>154</v>
      </c>
      <c r="B157" s="5" t="inlineStr">
        <is>
          <t>AD-PRO-PAC-04</t>
        </is>
      </c>
      <c r="C157" s="60" t="inlineStr">
        <is>
          <t>Products</t>
        </is>
      </c>
      <c r="D157" s="60" t="inlineStr">
        <is>
          <t>Packages</t>
        </is>
      </c>
      <c r="E157" s="5" t="inlineStr">
        <is>
          <t>New package — 3 · Package price</t>
        </is>
      </c>
      <c r="F157" s="46" t="inlineStr">
        <is>
          <t>Bước trong form</t>
        </is>
      </c>
      <c r="G157" s="6" t="inlineStr">
        <is>
          <t>Giá bán của cả gói (khác tổng giá lẻ).</t>
        </is>
      </c>
      <c r="H157" s="6" t="inlineStr">
        <is>
          <t>admin-bundles</t>
        </is>
      </c>
      <c r="I157" s="6" t="inlineStr">
        <is>
          <t>/wireframe/admin?screen=admin-bundles</t>
        </is>
      </c>
      <c r="J157" s="6" t="inlineStr">
        <is>
          <t>Products &amp; packages → Packages management</t>
        </is>
      </c>
      <c r="K157" s="26" t="inlineStr">
        <is>
          <t>Luan</t>
        </is>
      </c>
      <c r="L157" s="29" t="inlineStr"/>
      <c r="M157" s="30" t="inlineStr"/>
      <c r="N157" s="29" t="inlineStr"/>
    </row>
    <row r="158" ht="28" customHeight="1">
      <c r="A158" s="26" t="n">
        <v>155</v>
      </c>
      <c r="B158" s="5" t="inlineStr">
        <is>
          <t>AD-PRO-PAC-05</t>
        </is>
      </c>
      <c r="C158" s="60" t="inlineStr">
        <is>
          <t>Products</t>
        </is>
      </c>
      <c r="D158" s="60" t="inlineStr">
        <is>
          <t>Packages</t>
        </is>
      </c>
      <c r="E158" s="5" t="inlineStr">
        <is>
          <t>New package — 4 · Status</t>
        </is>
      </c>
      <c r="F158" s="46" t="inlineStr">
        <is>
          <t>Bước trong form</t>
        </is>
      </c>
      <c r="G158" s="6" t="inlineStr">
        <is>
          <t>Bật/tắt bán.</t>
        </is>
      </c>
      <c r="H158" s="6" t="inlineStr">
        <is>
          <t>admin-bundles</t>
        </is>
      </c>
      <c r="I158" s="6" t="inlineStr">
        <is>
          <t>/wireframe/admin?screen=admin-bundles</t>
        </is>
      </c>
      <c r="J158" s="6" t="inlineStr">
        <is>
          <t>Products &amp; packages → Packages management</t>
        </is>
      </c>
      <c r="K158" s="26" t="inlineStr">
        <is>
          <t>Luan</t>
        </is>
      </c>
      <c r="L158" s="29" t="inlineStr"/>
      <c r="M158" s="30" t="inlineStr"/>
      <c r="N158" s="29" t="inlineStr"/>
    </row>
    <row r="159" ht="40.5" customHeight="1">
      <c r="A159" s="31" t="n">
        <v>156</v>
      </c>
      <c r="B159" s="32" t="inlineStr">
        <is>
          <t>AD-PRO-PLA-01</t>
        </is>
      </c>
      <c r="C159" s="59" t="inlineStr">
        <is>
          <t>Products</t>
        </is>
      </c>
      <c r="D159" s="59" t="inlineStr">
        <is>
          <t>Placements</t>
        </is>
      </c>
      <c r="E159" s="32" t="inlineStr">
        <is>
          <t>Registry list</t>
        </is>
      </c>
      <c r="F159" s="54" t="inlineStr">
        <is>
          <t>Bảng danh sách</t>
        </is>
      </c>
      <c r="G159" s="35" t="inlineStr">
        <is>
          <t>Mọi vị trí hiển thị trên site jobseeker: trang · tên · kích thước · số item · pool cap · thời gian xoay vòng · nguồn lấp đầy.</t>
        </is>
      </c>
      <c r="H159" s="35" t="inlineStr">
        <is>
          <t>admin-placements</t>
        </is>
      </c>
      <c r="I159" s="35" t="inlineStr">
        <is>
          <t>/wireframe/admin?screen=admin-placements</t>
        </is>
      </c>
      <c r="J159" s="35" t="inlineStr">
        <is>
          <t>Products &amp; packages → Placements registry</t>
        </is>
      </c>
      <c r="K159" s="31" t="inlineStr">
        <is>
          <t>Luan</t>
        </is>
      </c>
      <c r="L159" s="36" t="inlineStr"/>
      <c r="M159" s="37" t="inlineStr"/>
      <c r="N159" s="36" t="inlineStr"/>
    </row>
    <row r="160" ht="28" customHeight="1">
      <c r="A160" s="26" t="n">
        <v>157</v>
      </c>
      <c r="B160" s="5" t="inlineStr">
        <is>
          <t>AD-PRO-PLA-02</t>
        </is>
      </c>
      <c r="C160" s="60" t="inlineStr">
        <is>
          <t>Products</t>
        </is>
      </c>
      <c r="D160" s="60" t="inlineStr">
        <is>
          <t>Placements</t>
        </is>
      </c>
      <c r="E160" s="5" t="inlineStr">
        <is>
          <t>Placement detail</t>
        </is>
      </c>
      <c r="F160" s="44" t="inlineStr">
        <is>
          <t>Trang chi tiết</t>
        </is>
      </c>
      <c r="G160" s="6" t="inlineStr">
        <is>
          <t>Sản phẩm placement trỏ tới một dòng ở đây thay vì gõ lại “1536×371, tối đa 6, xoay 3s” trên từng lần bán.</t>
        </is>
      </c>
      <c r="H160" s="6" t="inlineStr">
        <is>
          <t>admin-placements</t>
        </is>
      </c>
      <c r="I160" s="6" t="inlineStr">
        <is>
          <t>/wireframe/admin?screen=admin-placements</t>
        </is>
      </c>
      <c r="J160" s="6" t="inlineStr">
        <is>
          <t>Products &amp; packages → Placements registry</t>
        </is>
      </c>
      <c r="K160" s="26" t="inlineStr">
        <is>
          <t>Luan</t>
        </is>
      </c>
      <c r="L160" s="29" t="inlineStr"/>
      <c r="M160" s="30" t="inlineStr"/>
      <c r="N160" s="29" t="inlineStr"/>
    </row>
    <row r="161" ht="28" customHeight="1">
      <c r="A161" s="31" t="n">
        <v>158</v>
      </c>
      <c r="B161" s="32" t="inlineStr">
        <is>
          <t>AD-PRO-DIS-01</t>
        </is>
      </c>
      <c r="C161" s="59" t="inlineStr">
        <is>
          <t>Products</t>
        </is>
      </c>
      <c r="D161" s="59" t="inlineStr">
        <is>
          <t>Discount programmes</t>
        </is>
      </c>
      <c r="E161" s="32" t="inlineStr">
        <is>
          <t>Danh sách chương trình</t>
        </is>
      </c>
      <c r="F161" s="54" t="inlineStr">
        <is>
          <t>Bảng danh sách</t>
        </is>
      </c>
      <c r="G161" s="35" t="inlineStr">
        <is>
          <t>Các chương trình chiết khấu mà trình tạo báo giá tự áp dụng — là cấu hình, không phải mã giảm giá ai đó gõ vào.</t>
        </is>
      </c>
      <c r="H161" s="35" t="inlineStr">
        <is>
          <t>admin-promotions</t>
        </is>
      </c>
      <c r="I161" s="35" t="inlineStr">
        <is>
          <t>/wireframe/admin?screen=admin-promotions</t>
        </is>
      </c>
      <c r="J161" s="35" t="inlineStr">
        <is>
          <t>Products &amp; packages → Discount programmes</t>
        </is>
      </c>
      <c r="K161" s="31" t="inlineStr">
        <is>
          <t>Luan</t>
        </is>
      </c>
      <c r="L161" s="36" t="inlineStr"/>
      <c r="M161" s="37" t="inlineStr"/>
      <c r="N161" s="36" t="inlineStr"/>
    </row>
    <row r="162" ht="28" customHeight="1">
      <c r="A162" s="26" t="n">
        <v>159</v>
      </c>
      <c r="B162" s="5" t="inlineStr">
        <is>
          <t>AD-PRO-DIS-02</t>
        </is>
      </c>
      <c r="C162" s="60" t="inlineStr">
        <is>
          <t>Products</t>
        </is>
      </c>
      <c r="D162" s="60" t="inlineStr">
        <is>
          <t>Discount programmes</t>
        </is>
      </c>
      <c r="E162" s="5" t="inlineStr">
        <is>
          <t>Chiết khấu theo số lượng (Existing)</t>
        </is>
      </c>
      <c r="F162" s="28" t="inlineStr">
        <is>
          <t>Khối / Section</t>
        </is>
      </c>
      <c r="G162" s="6" t="inlineStr">
        <is>
          <t>Bậc theo tổng số lượng cùng một sản phẩm: 2+ → 25%, 5+ → 30%, 10+ → 35%, 20+ → 40%, 30+ → 45%, 50+ → 50%, 100+ → 60%.</t>
        </is>
      </c>
      <c r="H162" s="6" t="inlineStr">
        <is>
          <t>admin-promotions</t>
        </is>
      </c>
      <c r="I162" s="6" t="inlineStr">
        <is>
          <t>/wireframe/admin?screen=admin-promotions</t>
        </is>
      </c>
      <c r="J162" s="6" t="inlineStr">
        <is>
          <t>Products &amp; packages → Discount programmes</t>
        </is>
      </c>
      <c r="K162" s="26" t="inlineStr">
        <is>
          <t>Luan</t>
        </is>
      </c>
      <c r="L162" s="29" t="inlineStr"/>
      <c r="M162" s="30" t="inlineStr"/>
      <c r="N162" s="29" t="inlineStr"/>
    </row>
    <row r="163" ht="28" customHeight="1">
      <c r="A163" s="26" t="n">
        <v>160</v>
      </c>
      <c r="B163" s="5" t="inlineStr">
        <is>
          <t>AD-PRO-DIS-03</t>
        </is>
      </c>
      <c r="C163" s="60" t="inlineStr">
        <is>
          <t>Products</t>
        </is>
      </c>
      <c r="D163" s="60" t="inlineStr">
        <is>
          <t>Discount programmes</t>
        </is>
      </c>
      <c r="E163" s="5" t="inlineStr">
        <is>
          <t>Giảm 50% (New / Churn)</t>
        </is>
      </c>
      <c r="F163" s="28" t="inlineStr">
        <is>
          <t>Khối / Section</t>
        </is>
      </c>
      <c r="G163" s="6" t="inlineStr">
        <is>
          <t>Áp cho PO đầu tiên của lượt trạng thái hiện tại, với điều kiện mọi dòng trả phí đều ≤ 5.</t>
        </is>
      </c>
      <c r="H163" s="6" t="inlineStr">
        <is>
          <t>admin-promotions</t>
        </is>
      </c>
      <c r="I163" s="6" t="inlineStr">
        <is>
          <t>/wireframe/admin?screen=admin-promotions</t>
        </is>
      </c>
      <c r="J163" s="6" t="inlineStr">
        <is>
          <t>Products &amp; packages → Discount programmes</t>
        </is>
      </c>
      <c r="K163" s="26" t="inlineStr">
        <is>
          <t>Luan</t>
        </is>
      </c>
      <c r="L163" s="29" t="inlineStr"/>
      <c r="M163" s="30" t="inlineStr"/>
      <c r="N163" s="29" t="inlineStr"/>
    </row>
    <row r="164" ht="28" customHeight="1">
      <c r="A164" s="26" t="n">
        <v>161</v>
      </c>
      <c r="B164" s="5" t="inlineStr">
        <is>
          <t>AD-PRO-DIS-04</t>
        </is>
      </c>
      <c r="C164" s="60" t="inlineStr">
        <is>
          <t>Products</t>
        </is>
      </c>
      <c r="D164" s="60" t="inlineStr">
        <is>
          <t>Discount programmes</t>
        </is>
      </c>
      <c r="E164" s="5" t="inlineStr">
        <is>
          <t>Cấu hình bậc &amp; điều kiện</t>
        </is>
      </c>
      <c r="F164" s="53" t="inlineStr">
        <is>
          <t>Form tạo mới</t>
        </is>
      </c>
      <c r="G164" s="6" t="inlineStr">
        <is>
          <t>Ngưỡng, trạng thái khách áp dụng, và cách xử lý dòng quà tặng.</t>
        </is>
      </c>
      <c r="H164" s="6" t="inlineStr">
        <is>
          <t>admin-promotions</t>
        </is>
      </c>
      <c r="I164" s="6" t="inlineStr">
        <is>
          <t>/wireframe/admin?screen=admin-promotions</t>
        </is>
      </c>
      <c r="J164" s="6" t="inlineStr">
        <is>
          <t>Products &amp; packages → Discount programmes</t>
        </is>
      </c>
      <c r="K164" s="26" t="inlineStr">
        <is>
          <t>Luan</t>
        </is>
      </c>
      <c r="L164" s="29" t="inlineStr"/>
      <c r="M164" s="30" t="inlineStr"/>
      <c r="N164" s="29" t="inlineStr"/>
    </row>
    <row r="165" ht="28" customHeight="1">
      <c r="A165" s="31" t="n">
        <v>162</v>
      </c>
      <c r="B165" s="32" t="inlineStr">
        <is>
          <t>AD-SYS-STA-01</t>
        </is>
      </c>
      <c r="C165" s="61" t="inlineStr">
        <is>
          <t>System</t>
        </is>
      </c>
      <c r="D165" s="61" t="inlineStr">
        <is>
          <t>Staff directory</t>
        </is>
      </c>
      <c r="E165" s="32" t="inlineStr">
        <is>
          <t>Danh sách nhân sự</t>
        </is>
      </c>
      <c r="F165" s="54" t="inlineStr">
        <is>
          <t>Bảng danh sách</t>
        </is>
      </c>
      <c r="G165" s="35" t="inlineStr">
        <is>
          <t>Nguồn để Users và phần “sales owner” trong CRM chọn ra.</t>
        </is>
      </c>
      <c r="H165" s="35" t="inlineStr">
        <is>
          <t>admin-staff</t>
        </is>
      </c>
      <c r="I165" s="35" t="inlineStr">
        <is>
          <t>/wireframe/admin?screen=admin-staff</t>
        </is>
      </c>
      <c r="J165" s="35" t="inlineStr">
        <is>
          <t>Admin &amp; access → Staff directory</t>
        </is>
      </c>
      <c r="K165" s="31" t="inlineStr">
        <is>
          <t>Luong</t>
        </is>
      </c>
      <c r="L165" s="36" t="inlineStr"/>
      <c r="M165" s="37" t="inlineStr"/>
      <c r="N165" s="36" t="inlineStr"/>
    </row>
    <row r="166" ht="28" customHeight="1">
      <c r="A166" s="26" t="n">
        <v>163</v>
      </c>
      <c r="B166" s="5" t="inlineStr">
        <is>
          <t>AD-SYS-STA-02</t>
        </is>
      </c>
      <c r="C166" s="62" t="inlineStr">
        <is>
          <t>System</t>
        </is>
      </c>
      <c r="D166" s="62" t="inlineStr">
        <is>
          <t>Staff directory</t>
        </is>
      </c>
      <c r="E166" s="5" t="inlineStr">
        <is>
          <t>Staff detail</t>
        </is>
      </c>
      <c r="F166" s="44" t="inlineStr">
        <is>
          <t>Trang chi tiết</t>
        </is>
      </c>
      <c r="G166" s="6" t="inlineStr">
        <is>
          <t>Thông tin nhân sự và phòng ban.</t>
        </is>
      </c>
      <c r="H166" s="6" t="inlineStr">
        <is>
          <t>admin-staff</t>
        </is>
      </c>
      <c r="I166" s="6" t="inlineStr">
        <is>
          <t>/wireframe/admin?screen=admin-staff</t>
        </is>
      </c>
      <c r="J166" s="6" t="inlineStr">
        <is>
          <t>Admin &amp; access → Staff directory</t>
        </is>
      </c>
      <c r="K166" s="26" t="inlineStr">
        <is>
          <t>Luong</t>
        </is>
      </c>
      <c r="L166" s="29" t="inlineStr"/>
      <c r="M166" s="30" t="inlineStr"/>
      <c r="N166" s="29" t="inlineStr"/>
    </row>
    <row r="167" ht="28" customHeight="1">
      <c r="A167" s="31" t="n">
        <v>164</v>
      </c>
      <c r="B167" s="32" t="inlineStr">
        <is>
          <t>AD-SYS-USE-01</t>
        </is>
      </c>
      <c r="C167" s="61" t="inlineStr">
        <is>
          <t>System</t>
        </is>
      </c>
      <c r="D167" s="61" t="inlineStr">
        <is>
          <t>Users</t>
        </is>
      </c>
      <c r="E167" s="32" t="inlineStr">
        <is>
          <t>All</t>
        </is>
      </c>
      <c r="F167" s="40" t="inlineStr">
        <is>
          <t>Tab trạng thái</t>
        </is>
      </c>
      <c r="G167" s="35" t="inlineStr">
        <is>
          <t>Toàn bộ tài khoản vận hành của HQ.</t>
        </is>
      </c>
      <c r="H167" s="35" t="inlineStr">
        <is>
          <t>admin-users</t>
        </is>
      </c>
      <c r="I167" s="35" t="inlineStr">
        <is>
          <t>/wireframe/admin?screen=admin-users</t>
        </is>
      </c>
      <c r="J167" s="35" t="inlineStr">
        <is>
          <t>Admin &amp; access → Operators (users)</t>
        </is>
      </c>
      <c r="K167" s="31" t="inlineStr">
        <is>
          <t>Luong</t>
        </is>
      </c>
      <c r="L167" s="36" t="inlineStr"/>
      <c r="M167" s="37" t="inlineStr"/>
      <c r="N167" s="36" t="inlineStr"/>
    </row>
    <row r="168" ht="28" customHeight="1">
      <c r="A168" s="26" t="n">
        <v>165</v>
      </c>
      <c r="B168" s="5" t="inlineStr">
        <is>
          <t>AD-SYS-USE-02</t>
        </is>
      </c>
      <c r="C168" s="62" t="inlineStr">
        <is>
          <t>System</t>
        </is>
      </c>
      <c r="D168" s="62" t="inlineStr">
        <is>
          <t>Users</t>
        </is>
      </c>
      <c r="E168" s="5" t="inlineStr">
        <is>
          <t>Active</t>
        </is>
      </c>
      <c r="F168" s="42" t="inlineStr">
        <is>
          <t>Tab trạng thái</t>
        </is>
      </c>
      <c r="G168" s="6" t="inlineStr">
        <is>
          <t>Đang dùng được.</t>
        </is>
      </c>
      <c r="H168" s="6" t="inlineStr">
        <is>
          <t>admin-users</t>
        </is>
      </c>
      <c r="I168" s="6" t="inlineStr">
        <is>
          <t>/wireframe/admin?screen=admin-users</t>
        </is>
      </c>
      <c r="J168" s="6" t="inlineStr">
        <is>
          <t>Admin &amp; access → Operators (users)</t>
        </is>
      </c>
      <c r="K168" s="26" t="inlineStr">
        <is>
          <t>Luong</t>
        </is>
      </c>
      <c r="L168" s="29" t="inlineStr"/>
      <c r="M168" s="30" t="inlineStr"/>
      <c r="N168" s="29" t="inlineStr"/>
    </row>
    <row r="169" ht="28" customHeight="1">
      <c r="A169" s="26" t="n">
        <v>166</v>
      </c>
      <c r="B169" s="5" t="inlineStr">
        <is>
          <t>AD-SYS-USE-03</t>
        </is>
      </c>
      <c r="C169" s="62" t="inlineStr">
        <is>
          <t>System</t>
        </is>
      </c>
      <c r="D169" s="62" t="inlineStr">
        <is>
          <t>Users</t>
        </is>
      </c>
      <c r="E169" s="5" t="inlineStr">
        <is>
          <t>Pending</t>
        </is>
      </c>
      <c r="F169" s="42" t="inlineStr">
        <is>
          <t>Tab trạng thái</t>
        </is>
      </c>
      <c r="G169" s="6" t="inlineStr">
        <is>
          <t>Đã mời, chưa kích hoạt.</t>
        </is>
      </c>
      <c r="H169" s="6" t="inlineStr">
        <is>
          <t>admin-users</t>
        </is>
      </c>
      <c r="I169" s="6" t="inlineStr">
        <is>
          <t>/wireframe/admin?screen=admin-users</t>
        </is>
      </c>
      <c r="J169" s="6" t="inlineStr">
        <is>
          <t>Admin &amp; access → Operators (users)</t>
        </is>
      </c>
      <c r="K169" s="26" t="inlineStr">
        <is>
          <t>Luong</t>
        </is>
      </c>
      <c r="L169" s="29" t="inlineStr"/>
      <c r="M169" s="30" t="inlineStr"/>
      <c r="N169" s="29" t="inlineStr"/>
    </row>
    <row r="170" ht="28" customHeight="1">
      <c r="A170" s="26" t="n">
        <v>167</v>
      </c>
      <c r="B170" s="5" t="inlineStr">
        <is>
          <t>AD-SYS-USE-04</t>
        </is>
      </c>
      <c r="C170" s="62" t="inlineStr">
        <is>
          <t>System</t>
        </is>
      </c>
      <c r="D170" s="62" t="inlineStr">
        <is>
          <t>Users</t>
        </is>
      </c>
      <c r="E170" s="5" t="inlineStr">
        <is>
          <t>Disabled</t>
        </is>
      </c>
      <c r="F170" s="42" t="inlineStr">
        <is>
          <t>Tab trạng thái</t>
        </is>
      </c>
      <c r="G170" s="6" t="inlineStr">
        <is>
          <t>Đã khoá.</t>
        </is>
      </c>
      <c r="H170" s="6" t="inlineStr">
        <is>
          <t>admin-users</t>
        </is>
      </c>
      <c r="I170" s="6" t="inlineStr">
        <is>
          <t>/wireframe/admin?screen=admin-users</t>
        </is>
      </c>
      <c r="J170" s="6" t="inlineStr">
        <is>
          <t>Admin &amp; access → Operators (users)</t>
        </is>
      </c>
      <c r="K170" s="26" t="inlineStr">
        <is>
          <t>Luong</t>
        </is>
      </c>
      <c r="L170" s="29" t="inlineStr"/>
      <c r="M170" s="30" t="inlineStr"/>
      <c r="N170" s="29" t="inlineStr"/>
    </row>
    <row r="171" ht="28" customHeight="1">
      <c r="A171" s="26" t="n">
        <v>168</v>
      </c>
      <c r="B171" s="5" t="inlineStr">
        <is>
          <t>AD-SYS-USE-05</t>
        </is>
      </c>
      <c r="C171" s="62" t="inlineStr">
        <is>
          <t>System</t>
        </is>
      </c>
      <c r="D171" s="62" t="inlineStr">
        <is>
          <t>Users</t>
        </is>
      </c>
      <c r="E171" s="5" t="inlineStr">
        <is>
          <t>Bảng + detail</t>
        </is>
      </c>
      <c r="F171" s="38" t="inlineStr">
        <is>
          <t>Bảng danh sách</t>
        </is>
      </c>
      <c r="G171" s="6" t="inlineStr">
        <is>
          <t>Operator · email · role · phòng ban · lần đăng nhập cuối.</t>
        </is>
      </c>
      <c r="H171" s="6" t="inlineStr">
        <is>
          <t>admin-users</t>
        </is>
      </c>
      <c r="I171" s="6" t="inlineStr">
        <is>
          <t>/wireframe/admin?screen=admin-users</t>
        </is>
      </c>
      <c r="J171" s="6" t="inlineStr">
        <is>
          <t>Admin &amp; access → Operators (users)</t>
        </is>
      </c>
      <c r="K171" s="26" t="inlineStr">
        <is>
          <t>Luong</t>
        </is>
      </c>
      <c r="L171" s="29" t="inlineStr"/>
      <c r="M171" s="30" t="inlineStr"/>
      <c r="N171" s="29" t="inlineStr"/>
    </row>
    <row r="172" ht="28" customHeight="1">
      <c r="A172" s="31" t="n">
        <v>169</v>
      </c>
      <c r="B172" s="32" t="inlineStr">
        <is>
          <t>AD-SYS-ROL-01</t>
        </is>
      </c>
      <c r="C172" s="61" t="inlineStr">
        <is>
          <t>System</t>
        </is>
      </c>
      <c r="D172" s="61" t="inlineStr">
        <is>
          <t>Roles &amp; permissions</t>
        </is>
      </c>
      <c r="E172" s="32" t="inlineStr">
        <is>
          <t>Danh sách role</t>
        </is>
      </c>
      <c r="F172" s="54" t="inlineStr">
        <is>
          <t>Bảng danh sách</t>
        </is>
      </c>
      <c r="G172" s="35" t="inlineStr">
        <is>
          <t>Các role của HQ và số người đang giữ.</t>
        </is>
      </c>
      <c r="H172" s="35" t="inlineStr">
        <is>
          <t>admin-roles</t>
        </is>
      </c>
      <c r="I172" s="35" t="inlineStr">
        <is>
          <t>/wireframe/admin?screen=admin-roles</t>
        </is>
      </c>
      <c r="J172" s="35" t="inlineStr">
        <is>
          <t>Admin &amp; access → Roles &amp; permissions</t>
        </is>
      </c>
      <c r="K172" s="31" t="inlineStr">
        <is>
          <t>Luong</t>
        </is>
      </c>
      <c r="L172" s="36" t="inlineStr"/>
      <c r="M172" s="37" t="inlineStr"/>
      <c r="N172" s="36" t="inlineStr"/>
    </row>
    <row r="173" ht="28" customHeight="1">
      <c r="A173" s="26" t="n">
        <v>170</v>
      </c>
      <c r="B173" s="5" t="inlineStr">
        <is>
          <t>AD-SYS-ROL-02</t>
        </is>
      </c>
      <c r="C173" s="62" t="inlineStr">
        <is>
          <t>System</t>
        </is>
      </c>
      <c r="D173" s="62" t="inlineStr">
        <is>
          <t>Roles &amp; permissions</t>
        </is>
      </c>
      <c r="E173" s="5" t="inlineStr">
        <is>
          <t>Permission builder</t>
        </is>
      </c>
      <c r="F173" s="53" t="inlineStr">
        <is>
          <t>Form tạo mới</t>
        </is>
      </c>
      <c r="G173" s="6" t="inlineStr">
        <is>
          <t>Tích quyền theo từng module để tạo role; role Admin là cố định, không sửa.</t>
        </is>
      </c>
      <c r="H173" s="6" t="inlineStr">
        <is>
          <t>admin-roles</t>
        </is>
      </c>
      <c r="I173" s="6" t="inlineStr">
        <is>
          <t>/wireframe/admin?screen=admin-roles</t>
        </is>
      </c>
      <c r="J173" s="6" t="inlineStr">
        <is>
          <t>Admin &amp; access → Roles &amp; permissions</t>
        </is>
      </c>
      <c r="K173" s="26" t="inlineStr">
        <is>
          <t>Luong</t>
        </is>
      </c>
      <c r="L173" s="29" t="inlineStr"/>
      <c r="M173" s="30" t="inlineStr"/>
      <c r="N173" s="29" t="inlineStr"/>
    </row>
    <row r="174" ht="28" customHeight="1">
      <c r="A174" s="31" t="n">
        <v>171</v>
      </c>
      <c r="B174" s="32" t="inlineStr">
        <is>
          <t>AD-SYS-COM-01</t>
        </is>
      </c>
      <c r="C174" s="61" t="inlineStr">
        <is>
          <t>System</t>
        </is>
      </c>
      <c r="D174" s="61" t="inlineStr">
        <is>
          <t>Company information</t>
        </is>
      </c>
      <c r="E174" s="32" t="inlineStr">
        <is>
          <t>Letterhead VI / EN</t>
        </is>
      </c>
      <c r="F174" s="34" t="inlineStr">
        <is>
          <t>Khối / Section</t>
        </is>
      </c>
      <c r="G174" s="35" t="inlineStr">
        <is>
          <t>Logo · tên pháp lý VI+EN · địa chỉ VI+EN · website — in trên mọi báo giá, PO, hoá đơn.</t>
        </is>
      </c>
      <c r="H174" s="35" t="inlineStr">
        <is>
          <t>admin-issuer</t>
        </is>
      </c>
      <c r="I174" s="35" t="inlineStr">
        <is>
          <t>/wireframe/admin?screen=admin-issuer</t>
        </is>
      </c>
      <c r="J174" s="35" t="inlineStr">
        <is>
          <t>Admin &amp; access → Company information (issuer)</t>
        </is>
      </c>
      <c r="K174" s="31" t="inlineStr">
        <is>
          <t>Luong</t>
        </is>
      </c>
      <c r="L174" s="36" t="inlineStr"/>
      <c r="M174" s="37" t="inlineStr"/>
      <c r="N174" s="36" t="inlineStr"/>
    </row>
    <row r="175" ht="28" customHeight="1">
      <c r="A175" s="26" t="n">
        <v>172</v>
      </c>
      <c r="B175" s="5" t="inlineStr">
        <is>
          <t>AD-SYS-COM-02</t>
        </is>
      </c>
      <c r="C175" s="62" t="inlineStr">
        <is>
          <t>System</t>
        </is>
      </c>
      <c r="D175" s="62" t="inlineStr">
        <is>
          <t>Company information</t>
        </is>
      </c>
      <c r="E175" s="5" t="inlineStr">
        <is>
          <t>Thuế &amp; VAT</t>
        </is>
      </c>
      <c r="F175" s="28" t="inlineStr">
        <is>
          <t>Khối / Section</t>
        </is>
      </c>
      <c r="G175" s="6" t="inlineStr">
        <is>
          <t>MST bên bán và thuế suất VAT (hiện 8%) — đổi ở đây, không sửa trong template.</t>
        </is>
      </c>
      <c r="H175" s="6" t="inlineStr">
        <is>
          <t>admin-issuer</t>
        </is>
      </c>
      <c r="I175" s="6" t="inlineStr">
        <is>
          <t>/wireframe/admin?screen=admin-issuer</t>
        </is>
      </c>
      <c r="J175" s="6" t="inlineStr">
        <is>
          <t>Admin &amp; access → Company information (issuer)</t>
        </is>
      </c>
      <c r="K175" s="26" t="inlineStr">
        <is>
          <t>Luong</t>
        </is>
      </c>
      <c r="L175" s="29" t="inlineStr"/>
      <c r="M175" s="30" t="inlineStr"/>
      <c r="N175" s="29" t="inlineStr"/>
    </row>
    <row r="176" ht="28" customHeight="1">
      <c r="A176" s="26" t="n">
        <v>173</v>
      </c>
      <c r="B176" s="5" t="inlineStr">
        <is>
          <t>AD-SYS-COM-03</t>
        </is>
      </c>
      <c r="C176" s="62" t="inlineStr">
        <is>
          <t>System</t>
        </is>
      </c>
      <c r="D176" s="62" t="inlineStr">
        <is>
          <t>Company information</t>
        </is>
      </c>
      <c r="E176" s="5" t="inlineStr">
        <is>
          <t>Numbering</t>
        </is>
      </c>
      <c r="F176" s="28" t="inlineStr">
        <is>
          <t>Khối / Section</t>
        </is>
      </c>
      <c r="G176" s="6" t="inlineStr">
        <is>
          <t>Định dạng số cho QUO- / PO- / INV-. Định dạng cấu hình được, bộ đếm thì không.</t>
        </is>
      </c>
      <c r="H176" s="6" t="inlineStr">
        <is>
          <t>admin-issuer</t>
        </is>
      </c>
      <c r="I176" s="6" t="inlineStr">
        <is>
          <t>/wireframe/admin?screen=admin-issuer</t>
        </is>
      </c>
      <c r="J176" s="6" t="inlineStr">
        <is>
          <t>Admin &amp; access → Company information (issuer)</t>
        </is>
      </c>
      <c r="K176" s="26" t="inlineStr">
        <is>
          <t>Luong</t>
        </is>
      </c>
      <c r="L176" s="29" t="inlineStr"/>
      <c r="M176" s="30" t="inlineStr"/>
      <c r="N176" s="29" t="inlineStr"/>
    </row>
    <row r="177" ht="28" customHeight="1">
      <c r="A177" s="26" t="n">
        <v>174</v>
      </c>
      <c r="B177" s="5" t="inlineStr">
        <is>
          <t>AD-SYS-COM-04</t>
        </is>
      </c>
      <c r="C177" s="62" t="inlineStr">
        <is>
          <t>System</t>
        </is>
      </c>
      <c r="D177" s="62" t="inlineStr">
        <is>
          <t>Company information</t>
        </is>
      </c>
      <c r="E177" s="5" t="inlineStr">
        <is>
          <t>Bank details</t>
        </is>
      </c>
      <c r="F177" s="28" t="inlineStr">
        <is>
          <t>Khối / Section</t>
        </is>
      </c>
      <c r="G177" s="6" t="inlineStr">
        <is>
          <t>Tài khoản nhận tiền, in kèm PO.</t>
        </is>
      </c>
      <c r="H177" s="6" t="inlineStr">
        <is>
          <t>admin-issuer</t>
        </is>
      </c>
      <c r="I177" s="6" t="inlineStr">
        <is>
          <t>/wireframe/admin?screen=admin-issuer</t>
        </is>
      </c>
      <c r="J177" s="6" t="inlineStr">
        <is>
          <t>Admin &amp; access → Company information (issuer)</t>
        </is>
      </c>
      <c r="K177" s="26" t="inlineStr">
        <is>
          <t>Luong</t>
        </is>
      </c>
      <c r="L177" s="29" t="inlineStr"/>
      <c r="M177" s="30" t="inlineStr"/>
      <c r="N177" s="29" t="inlineStr"/>
    </row>
    <row r="178" ht="28" customHeight="1">
      <c r="A178" s="26" t="n">
        <v>175</v>
      </c>
      <c r="B178" s="5" t="inlineStr">
        <is>
          <t>AD-SYS-COM-05</t>
        </is>
      </c>
      <c r="C178" s="62" t="inlineStr">
        <is>
          <t>System</t>
        </is>
      </c>
      <c r="D178" s="62" t="inlineStr">
        <is>
          <t>Company information</t>
        </is>
      </c>
      <c r="E178" s="5" t="inlineStr">
        <is>
          <t>Chính sách bán hàng</t>
        </is>
      </c>
      <c r="F178" s="28" t="inlineStr">
        <is>
          <t>Khối / Section</t>
        </is>
      </c>
      <c r="G178" s="6" t="inlineStr">
        <is>
          <t>Hạn báo giá (cuối tháng) và ngưỡng chiết khấu cần duyệt (20%).</t>
        </is>
      </c>
      <c r="H178" s="6" t="inlineStr">
        <is>
          <t>admin-issuer</t>
        </is>
      </c>
      <c r="I178" s="6" t="inlineStr">
        <is>
          <t>/wireframe/admin?screen=admin-issuer</t>
        </is>
      </c>
      <c r="J178" s="6" t="inlineStr">
        <is>
          <t>Admin &amp; access → Company information (issuer)</t>
        </is>
      </c>
      <c r="K178" s="26" t="inlineStr">
        <is>
          <t>Luong</t>
        </is>
      </c>
      <c r="L178" s="29" t="inlineStr"/>
      <c r="M178" s="30" t="inlineStr"/>
      <c r="N178" s="29" t="inlineStr"/>
    </row>
    <row r="179" ht="28" customHeight="1">
      <c r="A179" s="31" t="n">
        <v>176</v>
      </c>
      <c r="B179" s="32" t="inlineStr">
        <is>
          <t>AD-SYS-MEM-01</t>
        </is>
      </c>
      <c r="C179" s="61" t="inlineStr">
        <is>
          <t>System</t>
        </is>
      </c>
      <c r="D179" s="61" t="inlineStr">
        <is>
          <t>Membership tiers</t>
        </is>
      </c>
      <c r="E179" s="32" t="inlineStr">
        <is>
          <t>Bậc thành viên</t>
        </is>
      </c>
      <c r="F179" s="54" t="inlineStr">
        <is>
          <t>Bảng danh sách</t>
        </is>
      </c>
      <c r="G179" s="35" t="inlineStr">
        <is>
          <t>Ngưỡng chi tiêu của từng hạng mà CRM đọc để hiển thị trên hồ sơ công ty.</t>
        </is>
      </c>
      <c r="H179" s="35" t="inlineStr">
        <is>
          <t>admin-membership</t>
        </is>
      </c>
      <c r="I179" s="35" t="inlineStr">
        <is>
          <t>/wireframe/admin?screen=admin-membership</t>
        </is>
      </c>
      <c r="J179" s="35" t="inlineStr">
        <is>
          <t>Admin &amp; access → Membership tiers</t>
        </is>
      </c>
      <c r="K179" s="31" t="inlineStr">
        <is>
          <t>Luong</t>
        </is>
      </c>
      <c r="L179" s="36" t="inlineStr"/>
      <c r="M179" s="37" t="inlineStr"/>
      <c r="N179" s="36" t="inlineStr"/>
    </row>
    <row r="180" ht="28" customHeight="1">
      <c r="A180" s="26" t="n">
        <v>177</v>
      </c>
      <c r="B180" s="5" t="inlineStr">
        <is>
          <t>AD-SYS-MEM-02</t>
        </is>
      </c>
      <c r="C180" s="62" t="inlineStr">
        <is>
          <t>System</t>
        </is>
      </c>
      <c r="D180" s="62" t="inlineStr">
        <is>
          <t>Membership tiers</t>
        </is>
      </c>
      <c r="E180" s="5" t="inlineStr">
        <is>
          <t>Catalogue quyền lợi</t>
        </is>
      </c>
      <c r="F180" s="28" t="inlineStr">
        <is>
          <t>Khối / Section</t>
        </is>
      </c>
      <c r="G180" s="6" t="inlineStr">
        <is>
          <t>Quyền lợi kèm theo mỗi hạng.</t>
        </is>
      </c>
      <c r="H180" s="6" t="inlineStr">
        <is>
          <t>admin-membership</t>
        </is>
      </c>
      <c r="I180" s="6" t="inlineStr">
        <is>
          <t>/wireframe/admin?screen=admin-membership</t>
        </is>
      </c>
      <c r="J180" s="6" t="inlineStr">
        <is>
          <t>Admin &amp; access → Membership tiers</t>
        </is>
      </c>
      <c r="K180" s="26" t="inlineStr">
        <is>
          <t>Luong</t>
        </is>
      </c>
      <c r="L180" s="29" t="inlineStr"/>
      <c r="M180" s="30" t="inlineStr"/>
      <c r="N180" s="29" t="inlineStr"/>
    </row>
    <row r="181" ht="28" customHeight="1">
      <c r="A181" s="31" t="n">
        <v>178</v>
      </c>
      <c r="B181" s="32" t="inlineStr">
        <is>
          <t>AD-SYS-PAG-01</t>
        </is>
      </c>
      <c r="C181" s="61" t="inlineStr">
        <is>
          <t>System</t>
        </is>
      </c>
      <c r="D181" s="61" t="inlineStr">
        <is>
          <t>Pages</t>
        </is>
      </c>
      <c r="E181" s="32" t="inlineStr">
        <is>
          <t>All</t>
        </is>
      </c>
      <c r="F181" s="40" t="inlineStr">
        <is>
          <t>Tab trạng thái</t>
        </is>
      </c>
      <c r="G181" s="35" t="inlineStr">
        <is>
          <t>Toàn bộ trang nội dung tĩnh của site.</t>
        </is>
      </c>
      <c r="H181" s="35" t="inlineStr">
        <is>
          <t>admin-pages</t>
        </is>
      </c>
      <c r="I181" s="35" t="inlineStr">
        <is>
          <t>/wireframe/admin?screen=admin-pages</t>
        </is>
      </c>
      <c r="J181" s="35" t="inlineStr">
        <is>
          <t>Admin &amp; access → Pages</t>
        </is>
      </c>
      <c r="K181" s="31" t="inlineStr">
        <is>
          <t>Luong</t>
        </is>
      </c>
      <c r="L181" s="36" t="inlineStr"/>
      <c r="M181" s="37" t="inlineStr"/>
      <c r="N181" s="36" t="inlineStr"/>
    </row>
    <row r="182" ht="28" customHeight="1">
      <c r="A182" s="26" t="n">
        <v>179</v>
      </c>
      <c r="B182" s="5" t="inlineStr">
        <is>
          <t>AD-SYS-PAG-02</t>
        </is>
      </c>
      <c r="C182" s="62" t="inlineStr">
        <is>
          <t>System</t>
        </is>
      </c>
      <c r="D182" s="62" t="inlineStr">
        <is>
          <t>Pages</t>
        </is>
      </c>
      <c r="E182" s="5" t="inlineStr">
        <is>
          <t>Published</t>
        </is>
      </c>
      <c r="F182" s="42" t="inlineStr">
        <is>
          <t>Tab trạng thái</t>
        </is>
      </c>
      <c r="G182" s="6" t="inlineStr">
        <is>
          <t>Đang hiển thị công khai.</t>
        </is>
      </c>
      <c r="H182" s="6" t="inlineStr">
        <is>
          <t>admin-pages</t>
        </is>
      </c>
      <c r="I182" s="6" t="inlineStr">
        <is>
          <t>/wireframe/admin?screen=admin-pages</t>
        </is>
      </c>
      <c r="J182" s="6" t="inlineStr">
        <is>
          <t>Admin &amp; access → Pages</t>
        </is>
      </c>
      <c r="K182" s="26" t="inlineStr">
        <is>
          <t>Luong</t>
        </is>
      </c>
      <c r="L182" s="29" t="inlineStr"/>
      <c r="M182" s="30" t="inlineStr"/>
      <c r="N182" s="29" t="inlineStr"/>
    </row>
    <row r="183" ht="28" customHeight="1">
      <c r="A183" s="26" t="n">
        <v>180</v>
      </c>
      <c r="B183" s="5" t="inlineStr">
        <is>
          <t>AD-SYS-PAG-03</t>
        </is>
      </c>
      <c r="C183" s="62" t="inlineStr">
        <is>
          <t>System</t>
        </is>
      </c>
      <c r="D183" s="62" t="inlineStr">
        <is>
          <t>Pages</t>
        </is>
      </c>
      <c r="E183" s="5" t="inlineStr">
        <is>
          <t>Draft</t>
        </is>
      </c>
      <c r="F183" s="42" t="inlineStr">
        <is>
          <t>Tab trạng thái</t>
        </is>
      </c>
      <c r="G183" s="6" t="inlineStr">
        <is>
          <t>Chưa xuất bản.</t>
        </is>
      </c>
      <c r="H183" s="6" t="inlineStr">
        <is>
          <t>admin-pages</t>
        </is>
      </c>
      <c r="I183" s="6" t="inlineStr">
        <is>
          <t>/wireframe/admin?screen=admin-pages</t>
        </is>
      </c>
      <c r="J183" s="6" t="inlineStr">
        <is>
          <t>Admin &amp; access → Pages</t>
        </is>
      </c>
      <c r="K183" s="26" t="inlineStr">
        <is>
          <t>Luong</t>
        </is>
      </c>
      <c r="L183" s="29" t="inlineStr"/>
      <c r="M183" s="30" t="inlineStr"/>
      <c r="N183" s="29" t="inlineStr"/>
    </row>
    <row r="184" ht="28" customHeight="1">
      <c r="A184" s="26" t="n">
        <v>181</v>
      </c>
      <c r="B184" s="5" t="inlineStr">
        <is>
          <t>AD-SYS-PAG-04</t>
        </is>
      </c>
      <c r="C184" s="62" t="inlineStr">
        <is>
          <t>System</t>
        </is>
      </c>
      <c r="D184" s="62" t="inlineStr">
        <is>
          <t>Pages</t>
        </is>
      </c>
      <c r="E184" s="5" t="inlineStr">
        <is>
          <t>Page editor</t>
        </is>
      </c>
      <c r="F184" s="53" t="inlineStr">
        <is>
          <t>Form tạo mới</t>
        </is>
      </c>
      <c r="G184" s="6" t="inlineStr">
        <is>
          <t>Tiêu đề · slug · nội dung · trạng thái xuất bản.</t>
        </is>
      </c>
      <c r="H184" s="6" t="inlineStr">
        <is>
          <t>admin-pages</t>
        </is>
      </c>
      <c r="I184" s="6" t="inlineStr">
        <is>
          <t>/wireframe/admin?screen=admin-pages</t>
        </is>
      </c>
      <c r="J184" s="6" t="inlineStr">
        <is>
          <t>Admin &amp; access → Pages</t>
        </is>
      </c>
      <c r="K184" s="26" t="inlineStr">
        <is>
          <t>Luong</t>
        </is>
      </c>
      <c r="L184" s="29" t="inlineStr"/>
      <c r="M184" s="30" t="inlineStr"/>
      <c r="N184" s="29" t="inlineStr"/>
    </row>
    <row r="185" ht="28" customHeight="1">
      <c r="A185" s="31" t="n">
        <v>182</v>
      </c>
      <c r="B185" s="32" t="inlineStr">
        <is>
          <t>AD-SYS-MAS-01</t>
        </is>
      </c>
      <c r="C185" s="61" t="inlineStr">
        <is>
          <t>System</t>
        </is>
      </c>
      <c r="D185" s="61" t="inlineStr">
        <is>
          <t>Master data</t>
        </is>
      </c>
      <c r="E185" s="32" t="inlineStr">
        <is>
          <t>Document numbering</t>
        </is>
      </c>
      <c r="F185" s="34" t="inlineStr">
        <is>
          <t>Khối / Section</t>
        </is>
      </c>
      <c r="G185" s="35" t="inlineStr">
        <is>
          <t>Định dạng số chứng từ dùng chung.</t>
        </is>
      </c>
      <c r="H185" s="35" t="inlineStr">
        <is>
          <t>admin-master-data</t>
        </is>
      </c>
      <c r="I185" s="35" t="inlineStr">
        <is>
          <t>/wireframe/admin?screen=admin-master-data</t>
        </is>
      </c>
      <c r="J185" s="35" t="inlineStr">
        <is>
          <t>Admin &amp; access → Master data</t>
        </is>
      </c>
      <c r="K185" s="31" t="inlineStr">
        <is>
          <t>Luong</t>
        </is>
      </c>
      <c r="L185" s="36" t="inlineStr"/>
      <c r="M185" s="37" t="inlineStr"/>
      <c r="N185" s="36" t="inlineStr"/>
    </row>
    <row r="186" ht="28" customHeight="1">
      <c r="A186" s="26" t="n">
        <v>183</v>
      </c>
      <c r="B186" s="5" t="inlineStr">
        <is>
          <t>AD-SYS-MAS-02</t>
        </is>
      </c>
      <c r="C186" s="62" t="inlineStr">
        <is>
          <t>System</t>
        </is>
      </c>
      <c r="D186" s="62" t="inlineStr">
        <is>
          <t>Master data</t>
        </is>
      </c>
      <c r="E186" s="5" t="inlineStr">
        <is>
          <t>Industry</t>
        </is>
      </c>
      <c r="F186" s="28" t="inlineStr">
        <is>
          <t>Khối / Section</t>
        </is>
      </c>
      <c r="G186" s="6" t="inlineStr">
        <is>
          <t>Danh mục ngành nghề của công ty.</t>
        </is>
      </c>
      <c r="H186" s="6" t="inlineStr">
        <is>
          <t>admin-master-data</t>
        </is>
      </c>
      <c r="I186" s="6" t="inlineStr">
        <is>
          <t>/wireframe/admin?screen=admin-master-data</t>
        </is>
      </c>
      <c r="J186" s="6" t="inlineStr">
        <is>
          <t>Admin &amp; access → Master data</t>
        </is>
      </c>
      <c r="K186" s="26" t="inlineStr">
        <is>
          <t>Luong</t>
        </is>
      </c>
      <c r="L186" s="29" t="inlineStr"/>
      <c r="M186" s="30" t="inlineStr"/>
      <c r="N186" s="29" t="inlineStr"/>
    </row>
    <row r="187" ht="28" customHeight="1">
      <c r="A187" s="26" t="n">
        <v>184</v>
      </c>
      <c r="B187" s="5" t="inlineStr">
        <is>
          <t>AD-SYS-MAS-03</t>
        </is>
      </c>
      <c r="C187" s="62" t="inlineStr">
        <is>
          <t>System</t>
        </is>
      </c>
      <c r="D187" s="62" t="inlineStr">
        <is>
          <t>Master data</t>
        </is>
      </c>
      <c r="E187" s="5" t="inlineStr">
        <is>
          <t>Job categories &amp; roles</t>
        </is>
      </c>
      <c r="F187" s="28" t="inlineStr">
        <is>
          <t>Khối / Section</t>
        </is>
      </c>
      <c r="G187" s="6" t="inlineStr">
        <is>
          <t>Cây hai cấp Category → Role. Form đăng tin và bộ lọc tìm việc đều đọc danh sách này.</t>
        </is>
      </c>
      <c r="H187" s="6" t="inlineStr">
        <is>
          <t>admin-master-data</t>
        </is>
      </c>
      <c r="I187" s="6" t="inlineStr">
        <is>
          <t>/wireframe/admin?screen=admin-master-data</t>
        </is>
      </c>
      <c r="J187" s="6" t="inlineStr">
        <is>
          <t>Admin &amp; access → Master data</t>
        </is>
      </c>
      <c r="K187" s="26" t="inlineStr">
        <is>
          <t>Luong</t>
        </is>
      </c>
      <c r="L187" s="29" t="inlineStr"/>
      <c r="M187" s="30" t="inlineStr"/>
      <c r="N187" s="29" t="inlineStr"/>
    </row>
    <row r="188" ht="28" customHeight="1">
      <c r="A188" s="26" t="n">
        <v>185</v>
      </c>
      <c r="B188" s="5" t="inlineStr">
        <is>
          <t>AD-SYS-MAS-04</t>
        </is>
      </c>
      <c r="C188" s="62" t="inlineStr">
        <is>
          <t>System</t>
        </is>
      </c>
      <c r="D188" s="62" t="inlineStr">
        <is>
          <t>Master data</t>
        </is>
      </c>
      <c r="E188" s="5" t="inlineStr">
        <is>
          <t>Benefits (phúc lợi)</t>
        </is>
      </c>
      <c r="F188" s="28" t="inlineStr">
        <is>
          <t>Khối / Section</t>
        </is>
      </c>
      <c r="G188" s="6" t="inlineStr">
        <is>
          <t>12 loại phúc lợi cố định: icon + nhãn vi/en/ko + là bộ lọc tìm việc.</t>
        </is>
      </c>
      <c r="H188" s="6" t="inlineStr">
        <is>
          <t>admin-master-data</t>
        </is>
      </c>
      <c r="I188" s="6" t="inlineStr">
        <is>
          <t>/wireframe/admin?screen=admin-master-data</t>
        </is>
      </c>
      <c r="J188" s="6" t="inlineStr">
        <is>
          <t>Admin &amp; access → Master data</t>
        </is>
      </c>
      <c r="K188" s="26" t="inlineStr">
        <is>
          <t>Luong</t>
        </is>
      </c>
      <c r="L188" s="29" t="inlineStr"/>
      <c r="M188" s="30" t="inlineStr"/>
      <c r="N188" s="29" t="inlineStr"/>
    </row>
    <row r="189" ht="28" customHeight="1">
      <c r="A189" s="26" t="n">
        <v>186</v>
      </c>
      <c r="B189" s="5" t="inlineStr">
        <is>
          <t>AD-SYS-MAS-05</t>
        </is>
      </c>
      <c r="C189" s="62" t="inlineStr">
        <is>
          <t>System</t>
        </is>
      </c>
      <c r="D189" s="62" t="inlineStr">
        <is>
          <t>Master data</t>
        </is>
      </c>
      <c r="E189" s="5" t="inlineStr">
        <is>
          <t>Job level</t>
        </is>
      </c>
      <c r="F189" s="28" t="inlineStr">
        <is>
          <t>Khối / Section</t>
        </is>
      </c>
      <c r="G189" s="6" t="inlineStr">
        <is>
          <t>Intern/Student · Fresher · Experienced · Manager · Director and above.</t>
        </is>
      </c>
      <c r="H189" s="6" t="inlineStr">
        <is>
          <t>admin-master-data</t>
        </is>
      </c>
      <c r="I189" s="6" t="inlineStr">
        <is>
          <t>/wireframe/admin?screen=admin-master-data</t>
        </is>
      </c>
      <c r="J189" s="6" t="inlineStr">
        <is>
          <t>Admin &amp; access → Master data</t>
        </is>
      </c>
      <c r="K189" s="26" t="inlineStr">
        <is>
          <t>Luong</t>
        </is>
      </c>
      <c r="L189" s="29" t="inlineStr"/>
      <c r="M189" s="30" t="inlineStr"/>
      <c r="N189" s="29" t="inlineStr"/>
    </row>
    <row r="190" ht="28" customHeight="1">
      <c r="A190" s="26" t="n">
        <v>187</v>
      </c>
      <c r="B190" s="5" t="inlineStr">
        <is>
          <t>AD-SYS-MAS-06</t>
        </is>
      </c>
      <c r="C190" s="62" t="inlineStr">
        <is>
          <t>System</t>
        </is>
      </c>
      <c r="D190" s="62" t="inlineStr">
        <is>
          <t>Master data</t>
        </is>
      </c>
      <c r="E190" s="5" t="inlineStr">
        <is>
          <t>Skills</t>
        </is>
      </c>
      <c r="F190" s="28" t="inlineStr">
        <is>
          <t>Khối / Section</t>
        </is>
      </c>
      <c r="G190" s="6" t="inlineStr">
        <is>
          <t>Từ điển kỹ năng dùng chung cho CV và tin đăng — chính vì dùng chung nên matching mới chạy được.</t>
        </is>
      </c>
      <c r="H190" s="6" t="inlineStr">
        <is>
          <t>admin-master-data</t>
        </is>
      </c>
      <c r="I190" s="6" t="inlineStr">
        <is>
          <t>/wireframe/admin?screen=admin-master-data</t>
        </is>
      </c>
      <c r="J190" s="6" t="inlineStr">
        <is>
          <t>Admin &amp; access → Master data</t>
        </is>
      </c>
      <c r="K190" s="26" t="inlineStr">
        <is>
          <t>Luong</t>
        </is>
      </c>
      <c r="L190" s="29" t="inlineStr"/>
      <c r="M190" s="30" t="inlineStr"/>
      <c r="N190" s="29" t="inlineStr"/>
    </row>
    <row r="191" ht="28" customHeight="1">
      <c r="A191" s="26" t="n">
        <v>188</v>
      </c>
      <c r="B191" s="5" t="inlineStr">
        <is>
          <t>AD-SYS-MAS-07</t>
        </is>
      </c>
      <c r="C191" s="62" t="inlineStr">
        <is>
          <t>System</t>
        </is>
      </c>
      <c r="D191" s="62" t="inlineStr">
        <is>
          <t>Master data</t>
        </is>
      </c>
      <c r="E191" s="5" t="inlineStr">
        <is>
          <t>Education level</t>
        </is>
      </c>
      <c r="F191" s="28" t="inlineStr">
        <is>
          <t>Khối / Section</t>
        </is>
      </c>
      <c r="G191" s="6" t="inlineStr">
        <is>
          <t>Trình độ học vấn.</t>
        </is>
      </c>
      <c r="H191" s="6" t="inlineStr">
        <is>
          <t>admin-master-data</t>
        </is>
      </c>
      <c r="I191" s="6" t="inlineStr">
        <is>
          <t>/wireframe/admin?screen=admin-master-data</t>
        </is>
      </c>
      <c r="J191" s="6" t="inlineStr">
        <is>
          <t>Admin &amp; access → Master data</t>
        </is>
      </c>
      <c r="K191" s="26" t="inlineStr">
        <is>
          <t>Luong</t>
        </is>
      </c>
      <c r="L191" s="29" t="inlineStr"/>
      <c r="M191" s="30" t="inlineStr"/>
      <c r="N191" s="29" t="inlineStr"/>
    </row>
    <row r="192" ht="28" customHeight="1">
      <c r="A192" s="26" t="n">
        <v>189</v>
      </c>
      <c r="B192" s="5" t="inlineStr">
        <is>
          <t>AD-SYS-MAS-08</t>
        </is>
      </c>
      <c r="C192" s="62" t="inlineStr">
        <is>
          <t>System</t>
        </is>
      </c>
      <c r="D192" s="62" t="inlineStr">
        <is>
          <t>Master data</t>
        </is>
      </c>
      <c r="E192" s="5" t="inlineStr">
        <is>
          <t>Preferred languages for application</t>
        </is>
      </c>
      <c r="F192" s="28" t="inlineStr">
        <is>
          <t>Khối / Section</t>
        </is>
      </c>
      <c r="G192" s="6" t="inlineStr">
        <is>
          <t>Ngôn ngữ hồ sơ ứng tuyển.</t>
        </is>
      </c>
      <c r="H192" s="6" t="inlineStr">
        <is>
          <t>admin-master-data</t>
        </is>
      </c>
      <c r="I192" s="6" t="inlineStr">
        <is>
          <t>/wireframe/admin?screen=admin-master-data</t>
        </is>
      </c>
      <c r="J192" s="6" t="inlineStr">
        <is>
          <t>Admin &amp; access → Master data</t>
        </is>
      </c>
      <c r="K192" s="26" t="inlineStr">
        <is>
          <t>Luong</t>
        </is>
      </c>
      <c r="L192" s="29" t="inlineStr"/>
      <c r="M192" s="30" t="inlineStr"/>
      <c r="N192" s="29" t="inlineStr"/>
    </row>
    <row r="193" ht="28" customHeight="1">
      <c r="A193" s="26" t="n">
        <v>190</v>
      </c>
      <c r="B193" s="5" t="inlineStr">
        <is>
          <t>AD-SYS-MAS-09</t>
        </is>
      </c>
      <c r="C193" s="62" t="inlineStr">
        <is>
          <t>System</t>
        </is>
      </c>
      <c r="D193" s="62" t="inlineStr">
        <is>
          <t>Master data</t>
        </is>
      </c>
      <c r="E193" s="5" t="inlineStr">
        <is>
          <t>Work types (job_type)</t>
        </is>
      </c>
      <c r="F193" s="28" t="inlineStr">
        <is>
          <t>Khối / Section</t>
        </is>
      </c>
      <c r="G193" s="6" t="inlineStr">
        <is>
          <t>4 giá trị: in office · remote · hybrid · oversea.</t>
        </is>
      </c>
      <c r="H193" s="6" t="inlineStr">
        <is>
          <t>admin-master-data</t>
        </is>
      </c>
      <c r="I193" s="6" t="inlineStr">
        <is>
          <t>/wireframe/admin?screen=admin-master-data</t>
        </is>
      </c>
      <c r="J193" s="6" t="inlineStr">
        <is>
          <t>Admin &amp; access → Master data</t>
        </is>
      </c>
      <c r="K193" s="26" t="inlineStr">
        <is>
          <t>Luong</t>
        </is>
      </c>
      <c r="L193" s="29" t="inlineStr"/>
      <c r="M193" s="30" t="inlineStr"/>
      <c r="N193" s="29" t="inlineStr"/>
    </row>
    <row r="194" ht="28" customHeight="1">
      <c r="A194" s="26" t="n">
        <v>191</v>
      </c>
      <c r="B194" s="5" t="inlineStr">
        <is>
          <t>AD-SYS-MAS-10</t>
        </is>
      </c>
      <c r="C194" s="62" t="inlineStr">
        <is>
          <t>System</t>
        </is>
      </c>
      <c r="D194" s="62" t="inlineStr">
        <is>
          <t>Master data</t>
        </is>
      </c>
      <c r="E194" s="5" t="inlineStr">
        <is>
          <t>Contract types (contract_type)</t>
        </is>
      </c>
      <c r="F194" s="28" t="inlineStr">
        <is>
          <t>Khối / Section</t>
        </is>
      </c>
      <c r="G194" s="6" t="inlineStr">
        <is>
          <t>7 giá trị: fulltime · part-time · contract · internship · probation · freelance · seasonal.</t>
        </is>
      </c>
      <c r="H194" s="6" t="inlineStr">
        <is>
          <t>admin-master-data</t>
        </is>
      </c>
      <c r="I194" s="6" t="inlineStr">
        <is>
          <t>/wireframe/admin?screen=admin-master-data</t>
        </is>
      </c>
      <c r="J194" s="6" t="inlineStr">
        <is>
          <t>Admin &amp; access → Master data</t>
        </is>
      </c>
      <c r="K194" s="26" t="inlineStr">
        <is>
          <t>Luong</t>
        </is>
      </c>
      <c r="L194" s="29" t="inlineStr"/>
      <c r="M194" s="30" t="inlineStr"/>
      <c r="N194" s="29" t="inlineStr"/>
    </row>
    <row r="195" ht="28" customHeight="1">
      <c r="A195" s="26" t="n">
        <v>192</v>
      </c>
      <c r="B195" s="5" t="inlineStr">
        <is>
          <t>AD-SYS-MAS-11</t>
        </is>
      </c>
      <c r="C195" s="62" t="inlineStr">
        <is>
          <t>System</t>
        </is>
      </c>
      <c r="D195" s="62" t="inlineStr">
        <is>
          <t>Master data</t>
        </is>
      </c>
      <c r="E195" s="5" t="inlineStr">
        <is>
          <t>Country (quốc tịch công ty)</t>
        </is>
      </c>
      <c r="F195" s="28" t="inlineStr">
        <is>
          <t>Khối / Section</t>
        </is>
      </c>
      <c r="G195" s="6" t="inlineStr">
        <is>
          <t>Danh sách quốc gia, quyết định có hiện ô Tỉnh/Thành phố hay không.</t>
        </is>
      </c>
      <c r="H195" s="6" t="inlineStr">
        <is>
          <t>admin-master-data</t>
        </is>
      </c>
      <c r="I195" s="6" t="inlineStr">
        <is>
          <t>/wireframe/admin?screen=admin-master-data</t>
        </is>
      </c>
      <c r="J195" s="6" t="inlineStr">
        <is>
          <t>Admin &amp; access → Master data</t>
        </is>
      </c>
      <c r="K195" s="26" t="inlineStr">
        <is>
          <t>Luong</t>
        </is>
      </c>
      <c r="L195" s="29" t="inlineStr"/>
      <c r="M195" s="30" t="inlineStr"/>
      <c r="N195" s="29" t="inlineStr"/>
    </row>
    <row r="196" ht="28" customHeight="1">
      <c r="A196" s="26" t="n">
        <v>193</v>
      </c>
      <c r="B196" s="5" t="inlineStr">
        <is>
          <t>AD-SYS-MAS-12</t>
        </is>
      </c>
      <c r="C196" s="62" t="inlineStr">
        <is>
          <t>System</t>
        </is>
      </c>
      <c r="D196" s="62" t="inlineStr">
        <is>
          <t>Master data</t>
        </is>
      </c>
      <c r="E196" s="5" t="inlineStr">
        <is>
          <t>Locations</t>
        </is>
      </c>
      <c r="F196" s="28" t="inlineStr">
        <is>
          <t>Khối / Section</t>
        </is>
      </c>
      <c r="G196" s="6" t="inlineStr">
        <is>
          <t>Tỉnh / thành phố — nửa lọc được của địa điểm làm việc.</t>
        </is>
      </c>
      <c r="H196" s="6" t="inlineStr">
        <is>
          <t>admin-master-data</t>
        </is>
      </c>
      <c r="I196" s="6" t="inlineStr">
        <is>
          <t>/wireframe/admin?screen=admin-master-data</t>
        </is>
      </c>
      <c r="J196" s="6" t="inlineStr">
        <is>
          <t>Admin &amp; access → Master data</t>
        </is>
      </c>
      <c r="K196" s="26" t="inlineStr">
        <is>
          <t>Luong</t>
        </is>
      </c>
      <c r="L196" s="29" t="inlineStr"/>
      <c r="M196" s="30" t="inlineStr"/>
      <c r="N196" s="29" t="inlineStr"/>
    </row>
    <row r="197" ht="28" customHeight="1">
      <c r="A197" s="26" t="n">
        <v>194</v>
      </c>
      <c r="B197" s="5" t="inlineStr">
        <is>
          <t>AD-SYS-MAS-13</t>
        </is>
      </c>
      <c r="C197" s="62" t="inlineStr">
        <is>
          <t>System</t>
        </is>
      </c>
      <c r="D197" s="62" t="inlineStr">
        <is>
          <t>Master data</t>
        </is>
      </c>
      <c r="E197" s="5" t="inlineStr">
        <is>
          <t>Salary currency</t>
        </is>
      </c>
      <c r="F197" s="28" t="inlineStr">
        <is>
          <t>Khối / Section</t>
        </is>
      </c>
      <c r="G197" s="6" t="inlineStr">
        <is>
          <t>Đơn vị tiền tệ cho lương.</t>
        </is>
      </c>
      <c r="H197" s="6" t="inlineStr">
        <is>
          <t>admin-master-data</t>
        </is>
      </c>
      <c r="I197" s="6" t="inlineStr">
        <is>
          <t>/wireframe/admin?screen=admin-master-data</t>
        </is>
      </c>
      <c r="J197" s="6" t="inlineStr">
        <is>
          <t>Admin &amp; access → Master data</t>
        </is>
      </c>
      <c r="K197" s="26" t="inlineStr">
        <is>
          <t>Luong</t>
        </is>
      </c>
      <c r="L197" s="29" t="inlineStr"/>
      <c r="M197" s="30" t="inlineStr"/>
      <c r="N197" s="29" t="inlineStr"/>
    </row>
    <row r="198" ht="28" customHeight="1">
      <c r="A198" s="26" t="n">
        <v>195</v>
      </c>
      <c r="B198" s="5" t="inlineStr">
        <is>
          <t>AD-SYS-MAS-14</t>
        </is>
      </c>
      <c r="C198" s="62" t="inlineStr">
        <is>
          <t>System</t>
        </is>
      </c>
      <c r="D198" s="62" t="inlineStr">
        <is>
          <t>Master data</t>
        </is>
      </c>
      <c r="E198" s="5" t="inlineStr">
        <is>
          <t>Company tag</t>
        </is>
      </c>
      <c r="F198" s="28" t="inlineStr">
        <is>
          <t>Khối / Section</t>
        </is>
      </c>
      <c r="G198" s="6" t="inlineStr">
        <is>
          <t>Nhãn biên tập gắn cho công ty.</t>
        </is>
      </c>
      <c r="H198" s="6" t="inlineStr">
        <is>
          <t>admin-master-data</t>
        </is>
      </c>
      <c r="I198" s="6" t="inlineStr">
        <is>
          <t>/wireframe/admin?screen=admin-master-data</t>
        </is>
      </c>
      <c r="J198" s="6" t="inlineStr">
        <is>
          <t>Admin &amp; access → Master data</t>
        </is>
      </c>
      <c r="K198" s="26" t="inlineStr">
        <is>
          <t>Luong</t>
        </is>
      </c>
      <c r="L198" s="29" t="inlineStr"/>
      <c r="M198" s="30" t="inlineStr"/>
      <c r="N198" s="29" t="inlineStr"/>
    </row>
    <row r="199" ht="28" customHeight="1">
      <c r="A199" s="31" t="n">
        <v>196</v>
      </c>
      <c r="B199" s="32" t="inlineStr">
        <is>
          <t>AD-SYS-AUD-01</t>
        </is>
      </c>
      <c r="C199" s="61" t="inlineStr">
        <is>
          <t>System</t>
        </is>
      </c>
      <c r="D199" s="61" t="inlineStr">
        <is>
          <t>Audit log</t>
        </is>
      </c>
      <c r="E199" s="32" t="inlineStr">
        <is>
          <t>Nhật ký thao tác</t>
        </is>
      </c>
      <c r="F199" s="54" t="inlineStr">
        <is>
          <t>Bảng danh sách</t>
        </is>
      </c>
      <c r="G199" s="35" t="inlineStr">
        <is>
          <t>Time · actor · action · target. Mọi lần xem PII, đổi trạng thái, cấp quota đều nằm ở đây.</t>
        </is>
      </c>
      <c r="H199" s="35" t="inlineStr">
        <is>
          <t>admin-audit-log</t>
        </is>
      </c>
      <c r="I199" s="35" t="inlineStr">
        <is>
          <t>/wireframe/admin?screen=admin-audit-log</t>
        </is>
      </c>
      <c r="J199" s="35" t="inlineStr">
        <is>
          <t>Admin &amp; access → Audit log</t>
        </is>
      </c>
      <c r="K199" s="31" t="inlineStr">
        <is>
          <t>Luong</t>
        </is>
      </c>
      <c r="L199" s="36" t="inlineStr"/>
      <c r="M199" s="37" t="inlineStr"/>
      <c r="N199" s="36" t="inlineStr"/>
    </row>
    <row r="200" ht="28" customHeight="1">
      <c r="A200" s="31" t="n">
        <v>197</v>
      </c>
      <c r="B200" s="32" t="inlineStr">
        <is>
          <t>AD-SYS-ENV-01</t>
        </is>
      </c>
      <c r="C200" s="61" t="inlineStr">
        <is>
          <t>System</t>
        </is>
      </c>
      <c r="D200" s="61" t="inlineStr">
        <is>
          <t>Environment</t>
        </is>
      </c>
      <c r="E200" s="32" t="inlineStr">
        <is>
          <t>Feature flags</t>
        </is>
      </c>
      <c r="F200" s="54" t="inlineStr">
        <is>
          <t>Bảng danh sách</t>
        </is>
      </c>
      <c r="G200" s="35" t="inlineStr">
        <is>
          <t>Bật/tắt từng phần: dữ liệu thật cho tìm việc, review công ty, PO/payment/contract, kênh Zalo ZNS.</t>
        </is>
      </c>
      <c r="H200" s="35" t="inlineStr">
        <is>
          <t>admin-environment</t>
        </is>
      </c>
      <c r="I200" s="35" t="inlineStr">
        <is>
          <t>/wireframe/admin?screen=admin-environment</t>
        </is>
      </c>
      <c r="J200" s="35" t="inlineStr">
        <is>
          <t>Admin &amp; access → Environment</t>
        </is>
      </c>
      <c r="K200" s="31" t="inlineStr">
        <is>
          <t>Luong</t>
        </is>
      </c>
      <c r="L200" s="36" t="inlineStr"/>
      <c r="M200" s="37" t="inlineStr"/>
      <c r="N200" s="36" t="inlineStr"/>
    </row>
    <row r="201" ht="28" customHeight="1">
      <c r="A201" s="31" t="n">
        <v>198</v>
      </c>
      <c r="B201" s="32" t="inlineStr">
        <is>
          <t>AD-SYS-DEP-01</t>
        </is>
      </c>
      <c r="C201" s="61" t="inlineStr">
        <is>
          <t>System</t>
        </is>
      </c>
      <c r="D201" s="61" t="inlineStr">
        <is>
          <t>Departments</t>
        </is>
      </c>
      <c r="E201" s="32" t="inlineStr">
        <is>
          <t>Danh sách phòng ban</t>
        </is>
      </c>
      <c r="F201" s="54" t="inlineStr">
        <is>
          <t>Bảng danh sách</t>
        </is>
      </c>
      <c r="G201" s="35" t="inlineStr">
        <is>
          <t>Cơ cấu phòng ban dùng cho staff và phân quyền.</t>
        </is>
      </c>
      <c r="H201" s="35" t="inlineStr">
        <is>
          <t>admin-departments</t>
        </is>
      </c>
      <c r="I201" s="35" t="inlineStr">
        <is>
          <t>/wireframe/admin?screen=admin-departments</t>
        </is>
      </c>
      <c r="J201" s="35" t="inlineStr">
        <is>
          <t>Admin &amp; access → Departments</t>
        </is>
      </c>
      <c r="K201" s="31" t="inlineStr">
        <is>
          <t>Luong</t>
        </is>
      </c>
      <c r="L201" s="36" t="inlineStr"/>
      <c r="M201" s="37" t="inlineStr"/>
      <c r="N201" s="36" t="inlineStr"/>
    </row>
    <row r="202" ht="28" customHeight="1">
      <c r="A202" s="26" t="n">
        <v>199</v>
      </c>
      <c r="B202" s="5" t="inlineStr">
        <is>
          <t>AD-SYS-DEP-02</t>
        </is>
      </c>
      <c r="C202" s="62" t="inlineStr">
        <is>
          <t>System</t>
        </is>
      </c>
      <c r="D202" s="62" t="inlineStr">
        <is>
          <t>Departments</t>
        </is>
      </c>
      <c r="E202" s="5" t="inlineStr">
        <is>
          <t>Department detail</t>
        </is>
      </c>
      <c r="F202" s="44" t="inlineStr">
        <is>
          <t>Trang chi tiết</t>
        </is>
      </c>
      <c r="G202" s="6" t="inlineStr">
        <is>
          <t>Thành viên và người phụ trách.</t>
        </is>
      </c>
      <c r="H202" s="6" t="inlineStr">
        <is>
          <t>admin-departments</t>
        </is>
      </c>
      <c r="I202" s="6" t="inlineStr">
        <is>
          <t>/wireframe/admin?screen=admin-departments</t>
        </is>
      </c>
      <c r="J202" s="6" t="inlineStr">
        <is>
          <t>Admin &amp; access → Departments</t>
        </is>
      </c>
      <c r="K202" s="26" t="inlineStr">
        <is>
          <t>Luong</t>
        </is>
      </c>
      <c r="L202" s="29" t="inlineStr"/>
      <c r="M202" s="30" t="inlineStr"/>
      <c r="N202" s="29" t="inlineStr"/>
    </row>
  </sheetData>
  <autoFilter ref="A3:N202"/>
  <mergeCells count="2">
    <mergeCell ref="A2:N2"/>
    <mergeCell ref="A1:N1"/>
  </mergeCells>
  <dataValidations count="1">
    <dataValidation sqref="M4:M202" showDropDown="0" showInputMessage="0" showErrorMessage="0" allowBlank="1" prompt="OK / Cần sửa / Chưa xem / Không cần" type="list">
      <formula1>"OK,Cần sửa,Chưa xem,Không cần"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2026-08-13T05:01:04Z</dcterms:created>
  <dcterms:modified xsi:type="dcterms:W3CDTF">2026-08-13T05:01:04Z</dcterms:modified>
</cp:coreProperties>
</file>