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FIRST" sheetId="1" state="visible" r:id="rId1"/>
    <sheet name="SUMMARY" sheetId="2" state="visible" r:id="rId2"/>
    <sheet name="AD-01 Create product" sheetId="3" state="visible" r:id="rId3"/>
    <sheet name="AD-02 Create company" sheetId="4" state="visible" r:id="rId4"/>
    <sheet name="AD-03 Quotation" sheetId="5" state="visible" r:id="rId5"/>
    <sheet name="AD-04 Sales pipeline" sheetId="6" state="visible" r:id="rId6"/>
    <sheet name="AD-05 Issue PO" sheetId="7" state="visible" r:id="rId7"/>
    <sheet name="AD-06 Issue invoice" sheetId="8" state="visible" r:id="rId8"/>
    <sheet name="AD-07 Products on company" sheetId="9" state="visible" r:id="rId9"/>
    <sheet name="AD-08 Create job" sheetId="10" state="visible" r:id="rId10"/>
    <sheet name="AD-09 Job on JS site" sheetId="11" state="visible" r:id="rId11"/>
    <sheet name="AD-10 End-to-end" sheetId="12" state="visible" r:id="rId12"/>
    <sheet name="BUG LOG" sheetId="13" state="visible" r:id="rId13"/>
  </sheets>
  <definedNames>
    <definedName name="_xlnm._FilterDatabase" localSheetId="2" hidden="1">'AD-01 Create product'!$A$3:$N$23</definedName>
    <definedName name="_xlnm._FilterDatabase" localSheetId="3" hidden="1">'AD-02 Create company'!$A$3:$N$31</definedName>
    <definedName name="_xlnm._FilterDatabase" localSheetId="4" hidden="1">'AD-03 Quotation'!$A$3:$N$37</definedName>
    <definedName name="_xlnm._FilterDatabase" localSheetId="5" hidden="1">'AD-04 Sales pipeline'!$A$3:$N$25</definedName>
    <definedName name="_xlnm._FilterDatabase" localSheetId="6" hidden="1">'AD-05 Issue PO'!$A$3:$N$19</definedName>
    <definedName name="_xlnm._FilterDatabase" localSheetId="7" hidden="1">'AD-06 Issue invoice'!$A$3:$N$21</definedName>
    <definedName name="_xlnm._FilterDatabase" localSheetId="8" hidden="1">'AD-07 Products on company'!$A$3:$N$17</definedName>
    <definedName name="_xlnm._FilterDatabase" localSheetId="9" hidden="1">'AD-08 Create job'!$A$3:$N$37</definedName>
    <definedName name="_xlnm._FilterDatabase" localSheetId="10" hidden="1">'AD-09 Job on JS site'!$A$3:$N$19</definedName>
    <definedName name="_xlnm._FilterDatabase" localSheetId="11" hidden="1">'AD-10 End-to-end'!$A$3:$N$15</definedName>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13"/>
    </font>
    <font>
      <name val="Arial"/>
      <i val="1"/>
      <color rgb="00555555"/>
      <sz val="9"/>
    </font>
    <font>
      <name val="Arial"/>
      <b val="1"/>
      <color rgb="00FFFFFF"/>
      <sz val="10"/>
    </font>
    <font>
      <name val="Arial"/>
      <b val="1"/>
      <sz val="10"/>
    </font>
    <font>
      <name val="Arial"/>
      <sz val="10"/>
    </font>
    <font>
      <name val="Arial"/>
      <b val="1"/>
      <color rgb="001F3864"/>
      <sz val="16"/>
    </font>
    <font>
      <name val="Arial"/>
      <b val="1"/>
      <color rgb="00FFFFFF"/>
      <sz val="12"/>
    </font>
    <font>
      <name val="Arial"/>
      <b val="1"/>
      <color rgb="001F3864"/>
      <sz val="14"/>
    </font>
    <font>
      <name val="Arial"/>
      <i val="1"/>
      <color rgb="00808080"/>
      <sz val="10"/>
    </font>
  </fonts>
  <fills count="12">
    <fill>
      <patternFill/>
    </fill>
    <fill>
      <patternFill patternType="gray125"/>
    </fill>
    <fill>
      <patternFill patternType="solid">
        <fgColor rgb="001F3864"/>
      </patternFill>
    </fill>
    <fill>
      <patternFill patternType="solid">
        <fgColor rgb="00FFF9E0"/>
      </patternFill>
    </fill>
    <fill>
      <patternFill patternType="solid">
        <fgColor rgb="00E2F0D9"/>
      </patternFill>
    </fill>
    <fill>
      <patternFill patternType="solid">
        <fgColor rgb="00FCE4E4"/>
      </patternFill>
    </fill>
    <fill>
      <patternFill patternType="solid">
        <fgColor rgb="00EEF3FA"/>
      </patternFill>
    </fill>
    <fill>
      <patternFill patternType="solid">
        <fgColor rgb="00FBE5D6"/>
      </patternFill>
    </fill>
    <fill>
      <patternFill patternType="solid">
        <fgColor rgb="00FFF2CC"/>
      </patternFill>
    </fill>
    <fill>
      <patternFill patternType="solid">
        <fgColor rgb="00E4DFEC"/>
      </patternFill>
    </fill>
    <fill>
      <patternFill patternType="solid">
        <fgColor rgb="00EDEDED"/>
      </patternFill>
    </fill>
    <fill>
      <patternFill patternType="solid">
        <fgColor rgb="00D9E2F3"/>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9">
    <xf numFmtId="0" fontId="0" fillId="0" borderId="0" pivotButton="0" quotePrefix="0" xfId="0"/>
    <xf numFmtId="0" fontId="6" fillId="0" borderId="0" pivotButton="0" quotePrefix="0" xfId="0"/>
    <xf numFmtId="0" fontId="5" fillId="0" borderId="0" applyAlignment="1" pivotButton="0" quotePrefix="0" xfId="0">
      <alignment vertical="top" wrapText="1"/>
    </xf>
    <xf numFmtId="0" fontId="7" fillId="2" borderId="0" pivotButton="0" quotePrefix="0" xfId="0"/>
    <xf numFmtId="0" fontId="0" fillId="2" borderId="0" pivotButton="0" quotePrefix="0" xfId="0"/>
    <xf numFmtId="0" fontId="4" fillId="0" borderId="1" applyAlignment="1" pivotButton="0" quotePrefix="0" xfId="0">
      <alignment vertical="top" wrapText="1"/>
    </xf>
    <xf numFmtId="0" fontId="5" fillId="0" borderId="1" applyAlignment="1" pivotButton="0" quotePrefix="0" xfId="0">
      <alignment vertical="top" wrapText="1"/>
    </xf>
    <xf numFmtId="0" fontId="8" fillId="0" borderId="0" pivotButton="0" quotePrefix="0" xfId="0"/>
    <xf numFmtId="0" fontId="2" fillId="0" borderId="0" applyAlignment="1" pivotButton="0" quotePrefix="0" xfId="0">
      <alignment vertical="center" wrapText="1"/>
    </xf>
    <xf numFmtId="0" fontId="3" fillId="2" borderId="1" applyAlignment="1" pivotButton="0" quotePrefix="0" xfId="0">
      <alignment horizontal="center" vertical="center" wrapText="1"/>
    </xf>
    <xf numFmtId="0" fontId="5" fillId="0" borderId="1" pivotButton="0" quotePrefix="0" xfId="0"/>
    <xf numFmtId="0" fontId="5" fillId="0" borderId="1" applyAlignment="1" pivotButton="0" quotePrefix="0" xfId="0">
      <alignment horizontal="center"/>
    </xf>
    <xf numFmtId="9" fontId="5" fillId="0" borderId="1" applyAlignment="1" pivotButton="0" quotePrefix="0" xfId="0">
      <alignment horizontal="center"/>
    </xf>
    <xf numFmtId="0" fontId="4" fillId="11" borderId="1" pivotButton="0" quotePrefix="0" xfId="0"/>
    <xf numFmtId="0" fontId="4" fillId="11" borderId="1" applyAlignment="1" pivotButton="0" quotePrefix="0" xfId="0">
      <alignment horizontal="center"/>
    </xf>
    <xf numFmtId="9" fontId="4" fillId="11" borderId="1" applyAlignment="1" pivotButton="0" quotePrefix="0" xfId="0">
      <alignment horizontal="center"/>
    </xf>
    <xf numFmtId="0" fontId="1" fillId="0" borderId="0" pivotButton="0" quotePrefix="0" xfId="0"/>
    <xf numFmtId="0" fontId="4" fillId="0" borderId="1" applyAlignment="1" pivotButton="0" quotePrefix="0" xfId="0">
      <alignment horizontal="center" vertical="top" wrapText="1"/>
    </xf>
    <xf numFmtId="0" fontId="5" fillId="4" borderId="1" applyAlignment="1" pivotButton="0" quotePrefix="0" xfId="0">
      <alignment horizontal="center" vertical="top" wrapText="1"/>
    </xf>
    <xf numFmtId="0" fontId="5" fillId="5" borderId="1" applyAlignment="1" pivotButton="0" quotePrefix="0" xfId="0">
      <alignment horizontal="center" vertical="top" wrapText="1"/>
    </xf>
    <xf numFmtId="0" fontId="5" fillId="3" borderId="1" applyAlignment="1" pivotButton="0" quotePrefix="0" xfId="0">
      <alignment vertical="top" wrapText="1"/>
    </xf>
    <xf numFmtId="0" fontId="5" fillId="3" borderId="1" applyAlignment="1" pivotButton="0" quotePrefix="0" xfId="0">
      <alignment horizontal="center" vertical="top" wrapText="1"/>
    </xf>
    <xf numFmtId="0" fontId="4" fillId="6" borderId="1" applyAlignment="1" pivotButton="0" quotePrefix="0" xfId="0">
      <alignment horizontal="center" vertical="top" wrapText="1"/>
    </xf>
    <xf numFmtId="0" fontId="5" fillId="6" borderId="1" applyAlignment="1" pivotButton="0" quotePrefix="0" xfId="0">
      <alignment vertical="top" wrapText="1"/>
    </xf>
    <xf numFmtId="0" fontId="5" fillId="7" borderId="1" applyAlignment="1" pivotButton="0" quotePrefix="0" xfId="0">
      <alignment horizontal="center" vertical="top" wrapText="1"/>
    </xf>
    <xf numFmtId="0" fontId="5" fillId="8" borderId="1" applyAlignment="1" pivotButton="0" quotePrefix="0" xfId="0">
      <alignment horizontal="center" vertical="top" wrapText="1"/>
    </xf>
    <xf numFmtId="0" fontId="5" fillId="9" borderId="1" applyAlignment="1" pivotButton="0" quotePrefix="0" xfId="0">
      <alignment horizontal="center" vertical="top" wrapText="1"/>
    </xf>
    <xf numFmtId="0" fontId="5" fillId="10" borderId="1" applyAlignment="1" pivotButton="0" quotePrefix="0" xfId="0">
      <alignment horizontal="center" vertical="top" wrapText="1"/>
    </xf>
    <xf numFmtId="0" fontId="9"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9"/>
  <sheetViews>
    <sheetView showGridLines="0" workbookViewId="0">
      <selection activeCell="A1" sqref="A1"/>
    </sheetView>
  </sheetViews>
  <sheetFormatPr baseColWidth="8" defaultRowHeight="15"/>
  <cols>
    <col width="26" customWidth="1" min="1" max="1"/>
    <col width="110" customWidth="1" min="2" max="2"/>
  </cols>
  <sheetData>
    <row r="1" ht="26" customHeight="1">
      <c r="A1" s="1" t="inlineStr">
        <is>
          <t>SARAMIN VN — TEST CASES · FILE 2 of 2 · ADMIN / SALES → LIVE JOB</t>
        </is>
      </c>
    </row>
    <row r="3" ht="45" customHeight="1">
      <c r="A3" s="2" t="inlineStr">
        <is>
          <t>This workbook follows one business chain from end to end: define a product, create the customer company, quote them, move the deal, issue the PO, issue the VAT invoice, watch the products land on the company, post a job, and see that job on the jobseeker site.</t>
        </is>
      </c>
    </row>
    <row r="4" ht="15" customHeight="1">
      <c r="A4" s="2" t="inlineStr">
        <is>
          <t>File 1 (Jobseeker) covers the other side: sign up, CV, applying.</t>
        </is>
      </c>
    </row>
    <row r="5" ht="45" customHeight="1">
      <c r="A5" s="2" t="inlineStr">
        <is>
          <t>THE MOST IMPORTANT RULE IN THIS WHOLE FILE: nothing is delivered until the VAT INVOICE is issued. A quotation delivers nothing. A PO delivers nothing — it is only the 'we won it' moment. The invoice is what puts products and quota on the company, and it does so immediately. If you ever see quota appear before the invoice, that is a serious bug.</t>
        </is>
      </c>
    </row>
    <row r="6" ht="30" customHeight="1">
      <c r="A6" s="2" t="inlineStr">
        <is>
          <t>Several tests need two or three people signed in at once (a Sales user, a Kế toán user, a Company user, and a jobseeker). Arrange that before you start — it will save you a lot of time.</t>
        </is>
      </c>
    </row>
    <row r="7" ht="30" customHeight="1">
      <c r="A7" s="2" t="inlineStr">
        <is>
          <t>Some tests need dates in the past or in the future (72-hour title lock, month-end expiry, activation windows). Ask a developer to prepare back-dated test data or to move the server date; do not wait real days.</t>
        </is>
      </c>
    </row>
    <row r="8" ht="30" customHeight="1">
      <c r="A8" s="2" t="inlineStr">
        <is>
          <t>Start with the AD-10 End-to-end sheet if you want to understand the whole flow first, then come back and test each screen in detail.</t>
        </is>
      </c>
    </row>
    <row r="10" ht="20" customHeight="1">
      <c r="A10" s="3" t="inlineStr">
        <is>
          <t>WHAT IS IN EACH SHEET</t>
        </is>
      </c>
      <c r="B10" s="4" t="inlineStr"/>
    </row>
    <row r="11" ht="16" customHeight="1">
      <c r="A11" s="5" t="inlineStr">
        <is>
          <t>SUMMARY</t>
        </is>
      </c>
      <c r="B11" s="6" t="inlineStr">
        <is>
          <t>Counts Pass / Fail / Blocked / Not Run automatically from every sheet. You never type in it.</t>
        </is>
      </c>
    </row>
    <row r="12" ht="16" customHeight="1">
      <c r="A12" s="5" t="inlineStr">
        <is>
          <t>AD-01 Create product</t>
        </is>
      </c>
      <c r="B12" s="6" t="inlineStr">
        <is>
          <t>The catalogue: SKU, price, VAT, what the buyer receives, activation window, versioning.</t>
        </is>
      </c>
    </row>
    <row r="13" ht="16" customHeight="1">
      <c r="A13" s="5" t="inlineStr">
        <is>
          <t>AD-02 Create company</t>
        </is>
      </c>
      <c r="B13" s="6" t="inlineStr">
        <is>
          <t>Creating a customer in the CRM: company ID, tax-code duplicate checks, parent / subsidiary links, global search.</t>
        </is>
      </c>
    </row>
    <row r="14" ht="16" customHeight="1">
      <c r="A14" s="5" t="inlineStr">
        <is>
          <t>AD-03 Quotation</t>
        </is>
      </c>
      <c r="B14" s="6" t="inlineStr">
        <is>
          <t>Building a quotation with 1–3 options, automatic discounts, sending it, revising it, month-end expiry.</t>
        </is>
      </c>
    </row>
    <row r="15" ht="16" customHeight="1">
      <c r="A15" s="5" t="inlineStr">
        <is>
          <t>AD-04 Sales pipeline</t>
        </is>
      </c>
      <c r="B15" s="6" t="inlineStr">
        <is>
          <t>Moving a deal between stages, the rot / idle colours, closing as Lost with a reason.</t>
        </is>
      </c>
    </row>
    <row r="16" ht="16" customHeight="1">
      <c r="A16" s="5" t="inlineStr">
        <is>
          <t>AD-05 Issue PO</t>
        </is>
      </c>
      <c r="B16" s="6" t="inlineStr">
        <is>
          <t>Turning the accepted option into a PO — and proving it provisions nothing.</t>
        </is>
      </c>
    </row>
    <row r="17" ht="16" customHeight="1">
      <c r="A17" s="5" t="inlineStr">
        <is>
          <t>AD-06 Issue invoice</t>
        </is>
      </c>
      <c r="B17" s="6" t="inlineStr">
        <is>
          <t>The VAT e-invoice: who may issue it, what it triggers, cancelling and re-issuing.</t>
        </is>
      </c>
    </row>
    <row r="18" ht="16" customHeight="1">
      <c r="A18" s="5" t="inlineStr">
        <is>
          <t>AD-07 Products on company</t>
        </is>
      </c>
      <c r="B18" s="6" t="inlineStr">
        <is>
          <t>The products and quota appearing on Company detail, and being spent by posting and unlocking.</t>
        </is>
      </c>
    </row>
    <row r="19" ht="16" customHeight="1">
      <c r="A19" s="5" t="inlineStr">
        <is>
          <t>AD-08 Create job</t>
        </is>
      </c>
      <c r="B19" s="6" t="inlineStr">
        <is>
          <t>The job form on both Admin and the Company site, including the 72-hour title lock.</t>
        </is>
      </c>
    </row>
    <row r="20" ht="16" customHeight="1">
      <c r="A20" s="5" t="inlineStr">
        <is>
          <t>AD-09 Job on JS site</t>
        </is>
      </c>
      <c r="B20" s="6" t="inlineStr">
        <is>
          <t>Proving the job really appears for jobseekers on the homepage, in search and on the job detail.</t>
        </is>
      </c>
    </row>
    <row r="21" ht="16" customHeight="1">
      <c r="A21" s="5" t="inlineStr">
        <is>
          <t>AD-10 End-to-end</t>
        </is>
      </c>
      <c r="B21" s="6" t="inlineStr">
        <is>
          <t>One numbered run through the entire chain. Do these 12 in order, in one sitting.</t>
        </is>
      </c>
    </row>
    <row r="22" ht="16" customHeight="1">
      <c r="A22" s="5" t="inlineStr">
        <is>
          <t>BUG LOG</t>
        </is>
      </c>
      <c r="B22" s="6" t="inlineStr">
        <is>
          <t>One row per failed test case. Delete the grey example row before you start.</t>
        </is>
      </c>
    </row>
    <row r="24" ht="20" customHeight="1">
      <c r="A24" s="3" t="inlineStr">
        <is>
          <t>WORDS YOU WILL SEE (plain English)</t>
        </is>
      </c>
      <c r="B24" s="4" t="inlineStr"/>
    </row>
    <row r="25" ht="16" customHeight="1">
      <c r="A25" s="5" t="inlineStr">
        <is>
          <t>HQ / Admin</t>
        </is>
      </c>
      <c r="B25" s="6" t="inlineStr">
        <is>
          <t>Saramin's own staff working in the Admin site.</t>
        </is>
      </c>
    </row>
    <row r="26" ht="16" customHeight="1">
      <c r="A26" s="5" t="inlineStr">
        <is>
          <t>Sales</t>
        </is>
      </c>
      <c r="B26" s="6" t="inlineStr">
        <is>
          <t>The rep who creates companies, quotations and POs.</t>
        </is>
      </c>
    </row>
    <row r="27" ht="16" customHeight="1">
      <c r="A27" s="5" t="inlineStr">
        <is>
          <t>Kế toán / Accounting</t>
        </is>
      </c>
      <c r="B27" s="6" t="inlineStr">
        <is>
          <t>The only role allowed to issue or cancel a VAT invoice, and to confirm money against the bank.</t>
        </is>
      </c>
    </row>
    <row r="28" ht="16" customHeight="1">
      <c r="A28" s="5" t="inlineStr">
        <is>
          <t>Company / employer user</t>
        </is>
      </c>
      <c r="B28" s="6" t="inlineStr">
        <is>
          <t>The customer's own HR person, who posts jobs and reads applications.</t>
        </is>
      </c>
    </row>
    <row r="29" ht="16" customHeight="1">
      <c r="A29" s="5" t="inlineStr">
        <is>
          <t>Quotation (Báo giá)</t>
        </is>
      </c>
      <c r="B29" s="6" t="inlineStr">
        <is>
          <t>The priced offer sent to the customer. Can hold 1–3 options; the customer picks ONE.</t>
        </is>
      </c>
    </row>
    <row r="30" ht="16" customHeight="1">
      <c r="A30" s="5" t="inlineStr">
        <is>
          <t>Option</t>
        </is>
      </c>
      <c r="B30" s="6" t="inlineStr">
        <is>
          <t>One priced alternative inside a quotation. Options are never added together.</t>
        </is>
      </c>
    </row>
    <row r="31" ht="16" customHeight="1">
      <c r="A31" s="5" t="inlineStr">
        <is>
          <t>PO (Purchase order)</t>
        </is>
      </c>
      <c r="B31" s="6" t="inlineStr">
        <is>
          <t>The order document created from the ONE accepted option. It is the 'won' moment — but it delivers nothing.</t>
        </is>
      </c>
    </row>
    <row r="32" ht="16" customHeight="1">
      <c r="A32" s="5" t="inlineStr">
        <is>
          <t>VAT e-invoice</t>
        </is>
      </c>
      <c r="B32" s="6" t="inlineStr">
        <is>
          <t>The legal tax document. Issuing it closes the deal AND releases the products immediately.</t>
        </is>
      </c>
    </row>
    <row r="33" ht="28" customHeight="1">
      <c r="A33" s="5" t="inlineStr">
        <is>
          <t>Provisioning</t>
        </is>
      </c>
      <c r="B33" s="6" t="inlineStr">
        <is>
          <t>The moment a product line becomes usable quota on the customer's account. It happens on the invoice, and only then.</t>
        </is>
      </c>
    </row>
    <row r="34" ht="16" customHeight="1">
      <c r="A34" s="5" t="inlineStr">
        <is>
          <t>Quota / entitlement</t>
        </is>
      </c>
      <c r="B34" s="6" t="inlineStr">
        <is>
          <t>What the company can actually use: job-posting slots and CV unlocks.</t>
        </is>
      </c>
    </row>
    <row r="35" ht="16" customHeight="1">
      <c r="A35" s="5" t="inlineStr">
        <is>
          <t>Activation window</t>
        </is>
      </c>
      <c r="B35" s="6" t="inlineStr">
        <is>
          <t>How long the buyer has to START using what they bought, counted from the invoice date. Usually 12 months.</t>
        </is>
      </c>
    </row>
    <row r="36" ht="16" customHeight="1">
      <c r="A36" s="5" t="inlineStr">
        <is>
          <t>Customer status</t>
        </is>
      </c>
      <c r="B36" s="6" t="inlineStr">
        <is>
          <t>New (never bought) → Existing (has been invoiced) → Churn (no new order for 12 months).</t>
        </is>
      </c>
    </row>
    <row r="37" ht="16" customHeight="1">
      <c r="A37" s="5" t="inlineStr">
        <is>
          <t>Pipeline stage</t>
        </is>
      </c>
      <c r="B37" s="6" t="inlineStr">
        <is>
          <t>Where an open deal is: Proposal, Qualified, Negotiation, PO, Invoice — plus Lost.</t>
        </is>
      </c>
    </row>
    <row r="38" ht="16" customHeight="1">
      <c r="A38" s="5" t="inlineStr">
        <is>
          <t>Deal rot</t>
        </is>
      </c>
      <c r="B38" s="6" t="inlineStr">
        <is>
          <t>A colour showing a deal has had no meaningful activity for too long. Green, then amber, then red.</t>
        </is>
      </c>
    </row>
    <row r="39" ht="16" customHeight="1">
      <c r="A39" s="5" t="inlineStr">
        <is>
          <t>Exposure</t>
        </is>
      </c>
      <c r="B39" s="6" t="inlineStr">
        <is>
          <t>A separate On/Off switch on a job. A job is only visible to jobseekers when status = Open AND Exposure = On.</t>
        </is>
      </c>
    </row>
    <row r="40" ht="16" customHeight="1">
      <c r="A40" s="5" t="inlineStr">
        <is>
          <t>Entitlement source</t>
        </is>
      </c>
      <c r="B40" s="6" t="inlineStr">
        <is>
          <t>'Requires purchase' = must come from a PO line. 'Always available' = the Admin-only free tier, no PO, no limit.</t>
        </is>
      </c>
    </row>
    <row r="42" ht="20" customHeight="1">
      <c r="A42" s="3" t="inlineStr">
        <is>
          <t>HOW TO RUN A TEST CASE</t>
        </is>
      </c>
      <c r="B42" s="4" t="inlineStr"/>
    </row>
    <row r="43" ht="16" customHeight="1">
      <c r="A43" s="5" t="inlineStr">
        <is>
          <t>1. Read the Pre-condition</t>
        </is>
      </c>
      <c r="B43" s="6" t="inlineStr">
        <is>
          <t>This is what must already be true before you start. If you cannot set it up, put Blocked in Status and say why.</t>
        </is>
      </c>
    </row>
    <row r="44" ht="16" customHeight="1">
      <c r="A44" s="5" t="inlineStr">
        <is>
          <t>2. Do the Test Steps in order</t>
        </is>
      </c>
      <c r="B44" s="6" t="inlineStr">
        <is>
          <t>Do not skip a step and do not do them out of order. Each numbered line is one action.</t>
        </is>
      </c>
    </row>
    <row r="45" ht="16" customHeight="1">
      <c r="A45" s="5" t="inlineStr">
        <is>
          <t>3. Use the Test Data given</t>
        </is>
      </c>
      <c r="B45" s="6" t="inlineStr">
        <is>
          <t>If a value is not given, use anything sensible, then write what you used in Notes.</t>
        </is>
      </c>
    </row>
    <row r="46" ht="16" customHeight="1">
      <c r="A46" s="5" t="inlineStr">
        <is>
          <t>4. Compare with Expected Result</t>
        </is>
      </c>
      <c r="B46" s="6" t="inlineStr">
        <is>
          <t>Every sentence in Expected Result must be true. If even one is not true, the test Fails.</t>
        </is>
      </c>
    </row>
    <row r="47" ht="16" customHeight="1">
      <c r="A47" s="5" t="inlineStr">
        <is>
          <t>5. Fill the yellow columns</t>
        </is>
      </c>
      <c r="B47" s="6" t="inlineStr">
        <is>
          <t>Actual Result = what really happened. Status = Pass / Fail / Blocked / Not Run. Add your name and the date.</t>
        </is>
      </c>
    </row>
    <row r="48" ht="16" customHeight="1">
      <c r="A48" s="5" t="inlineStr">
        <is>
          <t>6. Raise a bug for every Fail</t>
        </is>
      </c>
      <c r="B48" s="6" t="inlineStr">
        <is>
          <t>Put the bug ID in Notes / Bug ID so the developer can find it. A Fail with no bug is lost work.</t>
        </is>
      </c>
    </row>
    <row r="49" ht="16" customHeight="1">
      <c r="A49" s="5" t="inlineStr">
        <is>
          <t>Screenshots</t>
        </is>
      </c>
      <c r="B49" s="6" t="inlineStr">
        <is>
          <t>Always attach a screenshot for a Fail. For anything about money, quota or status, screenshot before AND after.</t>
        </is>
      </c>
    </row>
    <row r="51" ht="20" customHeight="1">
      <c r="A51" s="3" t="inlineStr">
        <is>
          <t>PRIORITY MEANING</t>
        </is>
      </c>
      <c r="B51" s="4" t="inlineStr"/>
    </row>
    <row r="52" ht="16" customHeight="1">
      <c r="A52" s="5" t="inlineStr">
        <is>
          <t>High</t>
        </is>
      </c>
      <c r="B52" s="6" t="inlineStr">
        <is>
          <t>Must pass before release. If it fails, the feature cannot be used.</t>
        </is>
      </c>
    </row>
    <row r="53" ht="16" customHeight="1">
      <c r="A53" s="5" t="inlineStr">
        <is>
          <t>Medium</t>
        </is>
      </c>
      <c r="B53" s="6" t="inlineStr">
        <is>
          <t>Important, but there is a workaround or it affects fewer users.</t>
        </is>
      </c>
    </row>
    <row r="54" ht="16" customHeight="1">
      <c r="A54" s="5" t="inlineStr">
        <is>
          <t>Low</t>
        </is>
      </c>
      <c r="B54" s="6" t="inlineStr">
        <is>
          <t>Nice to have. Usually wording, layout or a rare case.</t>
        </is>
      </c>
    </row>
    <row r="56" ht="20" customHeight="1">
      <c r="A56" s="3" t="inlineStr">
        <is>
          <t>TYPE MEANING</t>
        </is>
      </c>
      <c r="B56" s="4" t="inlineStr"/>
    </row>
    <row r="57" ht="16" customHeight="1">
      <c r="A57" s="5" t="inlineStr">
        <is>
          <t>Positive</t>
        </is>
      </c>
      <c r="B57" s="6" t="inlineStr">
        <is>
          <t>The normal, correct way of using the feature. It should work.</t>
        </is>
      </c>
    </row>
    <row r="58" ht="16" customHeight="1">
      <c r="A58" s="5" t="inlineStr">
        <is>
          <t>Negative</t>
        </is>
      </c>
      <c r="B58" s="6" t="inlineStr">
        <is>
          <t>Wrong or not-allowed input. The system should stop you with a clear message.</t>
        </is>
      </c>
    </row>
    <row r="59" ht="16" customHeight="1">
      <c r="A59" s="5" t="inlineStr">
        <is>
          <t>Edge</t>
        </is>
      </c>
      <c r="B59" s="6" t="inlineStr">
        <is>
          <t>An unusual but real situation (limits, timing, expiry, two people at once).</t>
        </is>
      </c>
    </row>
  </sheetData>
  <mergeCells count="7">
    <mergeCell ref="A4:B4"/>
    <mergeCell ref="A7:B7"/>
    <mergeCell ref="A5:B5"/>
    <mergeCell ref="A1:B1"/>
    <mergeCell ref="A8:B8"/>
    <mergeCell ref="A3:B3"/>
    <mergeCell ref="A6:B6"/>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5"/>
  <sheetViews>
    <sheetView showGridLines="0" workbookViewId="0">
      <selection activeCell="A1" sqref="A1"/>
    </sheetView>
  </sheetViews>
  <sheetFormatPr baseColWidth="8" defaultRowHeight="15"/>
  <cols>
    <col width="34" customWidth="1" min="1" max="1"/>
    <col width="14" customWidth="1" min="2" max="2"/>
    <col width="12" customWidth="1" min="3" max="3"/>
    <col width="12" customWidth="1" min="4" max="4"/>
    <col width="12" customWidth="1" min="5" max="5"/>
    <col width="12" customWidth="1" min="6" max="6"/>
    <col width="14" customWidth="1" min="7" max="7"/>
  </cols>
  <sheetData>
    <row r="1">
      <c r="A1" s="7" t="inlineStr">
        <is>
          <t>Test execution summary</t>
        </is>
      </c>
    </row>
    <row r="2" ht="24" customHeight="1">
      <c r="A2" s="8" t="inlineStr">
        <is>
          <t>Type Pass / Fail / Blocked / Not Run in the Status column of each sheet — these numbers update by themselves. '% Executed' means how many cases you have actually run (Pass + Fail + Blocked).</t>
        </is>
      </c>
    </row>
    <row r="4" ht="24" customHeight="1">
      <c r="A4" s="9" t="inlineStr">
        <is>
          <t>Sheet</t>
        </is>
      </c>
      <c r="B4" s="9" t="inlineStr">
        <is>
          <t>Total cases</t>
        </is>
      </c>
      <c r="C4" s="9" t="inlineStr">
        <is>
          <t>Pass</t>
        </is>
      </c>
      <c r="D4" s="9" t="inlineStr">
        <is>
          <t>Fail</t>
        </is>
      </c>
      <c r="E4" s="9" t="inlineStr">
        <is>
          <t>Blocked</t>
        </is>
      </c>
      <c r="F4" s="9" t="inlineStr">
        <is>
          <t>Not Run</t>
        </is>
      </c>
      <c r="G4" s="9" t="inlineStr">
        <is>
          <t>% Executed</t>
        </is>
      </c>
    </row>
    <row r="5">
      <c r="A5" s="10" t="inlineStr">
        <is>
          <t>AD-01 Create product</t>
        </is>
      </c>
      <c r="B5" s="11" t="n">
        <v>20</v>
      </c>
      <c r="C5" s="11">
        <f>COUNTIF('AD-01 Create product'!K:K,"Pass")</f>
        <v/>
      </c>
      <c r="D5" s="11">
        <f>COUNTIF('AD-01 Create product'!K:K,"Fail")</f>
        <v/>
      </c>
      <c r="E5" s="11">
        <f>COUNTIF('AD-01 Create product'!K:K,"Blocked")</f>
        <v/>
      </c>
      <c r="F5" s="11">
        <f>COUNTIF('AD-01 Create product'!K:K,"Not Run")</f>
        <v/>
      </c>
      <c r="G5" s="12">
        <f>IFERROR((C5+D5+E5)/B5,0)</f>
        <v/>
      </c>
    </row>
    <row r="6">
      <c r="A6" s="10" t="inlineStr">
        <is>
          <t>AD-02 Create company</t>
        </is>
      </c>
      <c r="B6" s="11" t="n">
        <v>28</v>
      </c>
      <c r="C6" s="11">
        <f>COUNTIF('AD-02 Create company'!K:K,"Pass")</f>
        <v/>
      </c>
      <c r="D6" s="11">
        <f>COUNTIF('AD-02 Create company'!K:K,"Fail")</f>
        <v/>
      </c>
      <c r="E6" s="11">
        <f>COUNTIF('AD-02 Create company'!K:K,"Blocked")</f>
        <v/>
      </c>
      <c r="F6" s="11">
        <f>COUNTIF('AD-02 Create company'!K:K,"Not Run")</f>
        <v/>
      </c>
      <c r="G6" s="12">
        <f>IFERROR((C6+D6+E6)/B6,0)</f>
        <v/>
      </c>
    </row>
    <row r="7">
      <c r="A7" s="10" t="inlineStr">
        <is>
          <t>AD-03 Quotation</t>
        </is>
      </c>
      <c r="B7" s="11" t="n">
        <v>34</v>
      </c>
      <c r="C7" s="11">
        <f>COUNTIF('AD-03 Quotation'!K:K,"Pass")</f>
        <v/>
      </c>
      <c r="D7" s="11">
        <f>COUNTIF('AD-03 Quotation'!K:K,"Fail")</f>
        <v/>
      </c>
      <c r="E7" s="11">
        <f>COUNTIF('AD-03 Quotation'!K:K,"Blocked")</f>
        <v/>
      </c>
      <c r="F7" s="11">
        <f>COUNTIF('AD-03 Quotation'!K:K,"Not Run")</f>
        <v/>
      </c>
      <c r="G7" s="12">
        <f>IFERROR((C7+D7+E7)/B7,0)</f>
        <v/>
      </c>
    </row>
    <row r="8">
      <c r="A8" s="10" t="inlineStr">
        <is>
          <t>AD-04 Sales pipeline</t>
        </is>
      </c>
      <c r="B8" s="11" t="n">
        <v>22</v>
      </c>
      <c r="C8" s="11">
        <f>COUNTIF('AD-04 Sales pipeline'!K:K,"Pass")</f>
        <v/>
      </c>
      <c r="D8" s="11">
        <f>COUNTIF('AD-04 Sales pipeline'!K:K,"Fail")</f>
        <v/>
      </c>
      <c r="E8" s="11">
        <f>COUNTIF('AD-04 Sales pipeline'!K:K,"Blocked")</f>
        <v/>
      </c>
      <c r="F8" s="11">
        <f>COUNTIF('AD-04 Sales pipeline'!K:K,"Not Run")</f>
        <v/>
      </c>
      <c r="G8" s="12">
        <f>IFERROR((C8+D8+E8)/B8,0)</f>
        <v/>
      </c>
    </row>
    <row r="9">
      <c r="A9" s="10" t="inlineStr">
        <is>
          <t>AD-05 Issue PO</t>
        </is>
      </c>
      <c r="B9" s="11" t="n">
        <v>16</v>
      </c>
      <c r="C9" s="11">
        <f>COUNTIF('AD-05 Issue PO'!K:K,"Pass")</f>
        <v/>
      </c>
      <c r="D9" s="11">
        <f>COUNTIF('AD-05 Issue PO'!K:K,"Fail")</f>
        <v/>
      </c>
      <c r="E9" s="11">
        <f>COUNTIF('AD-05 Issue PO'!K:K,"Blocked")</f>
        <v/>
      </c>
      <c r="F9" s="11">
        <f>COUNTIF('AD-05 Issue PO'!K:K,"Not Run")</f>
        <v/>
      </c>
      <c r="G9" s="12">
        <f>IFERROR((C9+D9+E9)/B9,0)</f>
        <v/>
      </c>
    </row>
    <row r="10">
      <c r="A10" s="10" t="inlineStr">
        <is>
          <t>AD-06 Issue invoice</t>
        </is>
      </c>
      <c r="B10" s="11" t="n">
        <v>18</v>
      </c>
      <c r="C10" s="11">
        <f>COUNTIF('AD-06 Issue invoice'!K:K,"Pass")</f>
        <v/>
      </c>
      <c r="D10" s="11">
        <f>COUNTIF('AD-06 Issue invoice'!K:K,"Fail")</f>
        <v/>
      </c>
      <c r="E10" s="11">
        <f>COUNTIF('AD-06 Issue invoice'!K:K,"Blocked")</f>
        <v/>
      </c>
      <c r="F10" s="11">
        <f>COUNTIF('AD-06 Issue invoice'!K:K,"Not Run")</f>
        <v/>
      </c>
      <c r="G10" s="12">
        <f>IFERROR((C10+D10+E10)/B10,0)</f>
        <v/>
      </c>
    </row>
    <row r="11">
      <c r="A11" s="10" t="inlineStr">
        <is>
          <t>AD-07 Products on company</t>
        </is>
      </c>
      <c r="B11" s="11" t="n">
        <v>14</v>
      </c>
      <c r="C11" s="11">
        <f>COUNTIF('AD-07 Products on company'!K:K,"Pass")</f>
        <v/>
      </c>
      <c r="D11" s="11">
        <f>COUNTIF('AD-07 Products on company'!K:K,"Fail")</f>
        <v/>
      </c>
      <c r="E11" s="11">
        <f>COUNTIF('AD-07 Products on company'!K:K,"Blocked")</f>
        <v/>
      </c>
      <c r="F11" s="11">
        <f>COUNTIF('AD-07 Products on company'!K:K,"Not Run")</f>
        <v/>
      </c>
      <c r="G11" s="12">
        <f>IFERROR((C11+D11+E11)/B11,0)</f>
        <v/>
      </c>
    </row>
    <row r="12">
      <c r="A12" s="10" t="inlineStr">
        <is>
          <t>AD-08 Create job</t>
        </is>
      </c>
      <c r="B12" s="11" t="n">
        <v>34</v>
      </c>
      <c r="C12" s="11">
        <f>COUNTIF('AD-08 Create job'!K:K,"Pass")</f>
        <v/>
      </c>
      <c r="D12" s="11">
        <f>COUNTIF('AD-08 Create job'!K:K,"Fail")</f>
        <v/>
      </c>
      <c r="E12" s="11">
        <f>COUNTIF('AD-08 Create job'!K:K,"Blocked")</f>
        <v/>
      </c>
      <c r="F12" s="11">
        <f>COUNTIF('AD-08 Create job'!K:K,"Not Run")</f>
        <v/>
      </c>
      <c r="G12" s="12">
        <f>IFERROR((C12+D12+E12)/B12,0)</f>
        <v/>
      </c>
    </row>
    <row r="13">
      <c r="A13" s="10" t="inlineStr">
        <is>
          <t>AD-09 Job on JS site</t>
        </is>
      </c>
      <c r="B13" s="11" t="n">
        <v>16</v>
      </c>
      <c r="C13" s="11">
        <f>COUNTIF('AD-09 Job on JS site'!K:K,"Pass")</f>
        <v/>
      </c>
      <c r="D13" s="11">
        <f>COUNTIF('AD-09 Job on JS site'!K:K,"Fail")</f>
        <v/>
      </c>
      <c r="E13" s="11">
        <f>COUNTIF('AD-09 Job on JS site'!K:K,"Blocked")</f>
        <v/>
      </c>
      <c r="F13" s="11">
        <f>COUNTIF('AD-09 Job on JS site'!K:K,"Not Run")</f>
        <v/>
      </c>
      <c r="G13" s="12">
        <f>IFERROR((C13+D13+E13)/B13,0)</f>
        <v/>
      </c>
    </row>
    <row r="14">
      <c r="A14" s="10" t="inlineStr">
        <is>
          <t>AD-10 End-to-end</t>
        </is>
      </c>
      <c r="B14" s="11" t="n">
        <v>12</v>
      </c>
      <c r="C14" s="11">
        <f>COUNTIF('AD-10 End-to-end'!K:K,"Pass")</f>
        <v/>
      </c>
      <c r="D14" s="11">
        <f>COUNTIF('AD-10 End-to-end'!K:K,"Fail")</f>
        <v/>
      </c>
      <c r="E14" s="11">
        <f>COUNTIF('AD-10 End-to-end'!K:K,"Blocked")</f>
        <v/>
      </c>
      <c r="F14" s="11">
        <f>COUNTIF('AD-10 End-to-end'!K:K,"Not Run")</f>
        <v/>
      </c>
      <c r="G14" s="12">
        <f>IFERROR((C14+D14+E14)/B14,0)</f>
        <v/>
      </c>
    </row>
    <row r="15">
      <c r="A15" s="13" t="inlineStr">
        <is>
          <t>TOTAL</t>
        </is>
      </c>
      <c r="B15" s="14">
        <f>SUM(B5:B14)</f>
        <v/>
      </c>
      <c r="C15" s="14">
        <f>SUM(C5:C14)</f>
        <v/>
      </c>
      <c r="D15" s="14">
        <f>SUM(D5:D14)</f>
        <v/>
      </c>
      <c r="E15" s="14">
        <f>SUM(E5:E14)</f>
        <v/>
      </c>
      <c r="F15" s="14">
        <f>SUM(F5:F14)</f>
        <v/>
      </c>
      <c r="G15" s="15">
        <f>IFERROR((C15+D15+E15)/B15,0)</f>
        <v/>
      </c>
    </row>
  </sheetData>
  <mergeCells count="2">
    <mergeCell ref="A2:G2"/>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N23"/>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AD-01 · Products catalogue — create, price, activate a sellable product</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AD-01-01</t>
        </is>
      </c>
      <c r="B4" s="6" t="inlineStr">
        <is>
          <t>Products list</t>
        </is>
      </c>
      <c r="C4" s="6" t="inlineStr">
        <is>
          <t>The products list opens with the right filters and columns</t>
        </is>
      </c>
      <c r="D4" s="18" t="inlineStr">
        <is>
          <t>Positive</t>
        </is>
      </c>
      <c r="E4" s="19" t="inlineStr">
        <is>
          <t>High</t>
        </is>
      </c>
      <c r="F4" s="6" t="inlineStr">
        <is>
          <t>You are signed in to Admin with a role that can manage products.</t>
        </is>
      </c>
      <c r="G4" s="6" t="inlineStr">
        <is>
          <t>1. Go to Admin → Products.
2. Look at the filters above the list.
3. Look at the columns of the list.</t>
        </is>
      </c>
      <c r="H4" s="6" t="inlineStr">
        <is>
          <t>-</t>
        </is>
      </c>
      <c r="I4" s="6" t="inlineStr">
        <is>
          <t>There is a Type filter as a DROPDOWN (Posting tier, Placement booking, Credit pack, Add-on, Manual service) and a Status filter as a dropdown (Active, Inactive) — you can use both at the same time.
Each row shows: SKU, name, type, price (₫), what it gives the buyer, validity, status and sold count.
The product NAME is a link; the SKU is plain text.</t>
        </is>
      </c>
      <c r="J4" s="20" t="inlineStr"/>
      <c r="K4" s="21" t="inlineStr"/>
      <c r="L4" s="20" t="inlineStr"/>
      <c r="M4" s="21" t="inlineStr"/>
      <c r="N4" s="20" t="inlineStr"/>
    </row>
    <row r="5" ht="94.5" customHeight="1">
      <c r="A5" s="22" t="inlineStr">
        <is>
          <t>AD-01-02</t>
        </is>
      </c>
      <c r="B5" s="23" t="inlineStr">
        <is>
          <t>Create product</t>
        </is>
      </c>
      <c r="C5" s="23" t="inlineStr">
        <is>
          <t>Create a job-posting tier product</t>
        </is>
      </c>
      <c r="D5" s="18" t="inlineStr">
        <is>
          <t>Positive</t>
        </is>
      </c>
      <c r="E5" s="19" t="inlineStr">
        <is>
          <t>High</t>
        </is>
      </c>
      <c r="F5" s="23" t="inlineStr">
        <is>
          <t>You are on Admin → Products.</t>
        </is>
      </c>
      <c r="G5" s="23" t="inlineStr">
        <is>
          <t>1. Click to create a new product.
2. Choose Type = Posting tier.
3. Fill SKU: JOB-TEST01.
4. Fill the Vietnamese name and the English name.
5. Set list price 2,710,000 ₫, unit = per job, VAT 8%.
6. Set quota = 10 slots, posting tier = Basic, validity = 30 days, activation window = 12 months.
7. Save.</t>
        </is>
      </c>
      <c r="H5" s="23" t="inlineStr">
        <is>
          <t>SKU: JOB-TEST01
VI name: Tin đăng Basic (Test)
EN name: Basic Job (Test)
Price: 2,710,000</t>
        </is>
      </c>
      <c r="I5" s="23" t="inlineStr">
        <is>
          <t>The product is saved.
It is created as Inactive (not sellable yet).
Everything you typed is shown correctly when you re-open it.</t>
        </is>
      </c>
      <c r="J5" s="20" t="inlineStr"/>
      <c r="K5" s="21" t="inlineStr"/>
      <c r="L5" s="20" t="inlineStr"/>
      <c r="M5" s="21" t="inlineStr"/>
      <c r="N5" s="20" t="inlineStr"/>
    </row>
    <row r="6" ht="81" customHeight="1">
      <c r="A6" s="17" t="inlineStr">
        <is>
          <t>AD-01-03</t>
        </is>
      </c>
      <c r="B6" s="6" t="inlineStr">
        <is>
          <t>Create product</t>
        </is>
      </c>
      <c r="C6" s="6" t="inlineStr">
        <is>
          <t>Choosing a type only shows the fields that type needs</t>
        </is>
      </c>
      <c r="D6" s="18" t="inlineStr">
        <is>
          <t>Positive</t>
        </is>
      </c>
      <c r="E6" s="19" t="inlineStr">
        <is>
          <t>High</t>
        </is>
      </c>
      <c r="F6" s="6" t="inlineStr">
        <is>
          <t>You are creating a new product.</t>
        </is>
      </c>
      <c r="G6" s="6" t="inlineStr">
        <is>
          <t>1. Choose Type = Posting tier and note the fulfilment fields shown.
2. Change to Credit pack and note the fields.
3. Change to Placement booking.
4. Change to Add-on.
5. Change to Manual service.</t>
        </is>
      </c>
      <c r="H6" s="6" t="inlineStr">
        <is>
          <t>-</t>
        </is>
      </c>
      <c r="I6" s="6" t="inlineStr">
        <is>
          <t>Posting tier asks for slots, tier and validity.
Credit pack asks for CV unlocks and 30/90-day validity.
Placement asks for a placement from the registry and a booking unit.
Add-on asks what it attaches to and its capacity.
Manual service asks for SLA days, owning team and required inputs.
No screen shows fields that do not apply to its type.</t>
        </is>
      </c>
      <c r="J6" s="20" t="inlineStr"/>
      <c r="K6" s="21" t="inlineStr"/>
      <c r="L6" s="20" t="inlineStr"/>
      <c r="M6" s="21" t="inlineStr"/>
      <c r="N6" s="20" t="inlineStr"/>
    </row>
    <row r="7" ht="28" customHeight="1">
      <c r="A7" s="22" t="inlineStr">
        <is>
          <t>AD-01-04</t>
        </is>
      </c>
      <c r="B7" s="23" t="inlineStr">
        <is>
          <t>Create product</t>
        </is>
      </c>
      <c r="C7" s="23" t="inlineStr">
        <is>
          <t>A duplicate SKU is refused</t>
        </is>
      </c>
      <c r="D7" s="24" t="inlineStr">
        <is>
          <t>Negative</t>
        </is>
      </c>
      <c r="E7" s="19" t="inlineStr">
        <is>
          <t>High</t>
        </is>
      </c>
      <c r="F7" s="23" t="inlineStr">
        <is>
          <t>The product JOB-TEST01 already exists.</t>
        </is>
      </c>
      <c r="G7" s="23" t="inlineStr">
        <is>
          <t>1. Create a new product with SKU = JOB-TEST01.
2. Save.</t>
        </is>
      </c>
      <c r="H7" s="23" t="inlineStr">
        <is>
          <t>SKU: JOB-TEST01</t>
        </is>
      </c>
      <c r="I7" s="23" t="inlineStr">
        <is>
          <t>The save is refused with a message saying the SKU is already used.
No second product is created.</t>
        </is>
      </c>
      <c r="J7" s="20" t="inlineStr"/>
      <c r="K7" s="21" t="inlineStr"/>
      <c r="L7" s="20" t="inlineStr"/>
      <c r="M7" s="21" t="inlineStr"/>
      <c r="N7" s="20" t="inlineStr"/>
    </row>
    <row r="8" ht="40.5" customHeight="1">
      <c r="A8" s="17" t="inlineStr">
        <is>
          <t>AD-01-05</t>
        </is>
      </c>
      <c r="B8" s="6" t="inlineStr">
        <is>
          <t>Create product</t>
        </is>
      </c>
      <c r="C8" s="6" t="inlineStr">
        <is>
          <t>The Vietnamese name is required; the English one prints on the quotation</t>
        </is>
      </c>
      <c r="D8" s="24" t="inlineStr">
        <is>
          <t>Negative</t>
        </is>
      </c>
      <c r="E8" s="25" t="inlineStr">
        <is>
          <t>Medium</t>
        </is>
      </c>
      <c r="F8" s="6" t="inlineStr">
        <is>
          <t>You are creating a new product.</t>
        </is>
      </c>
      <c r="G8" s="6" t="inlineStr">
        <is>
          <t>1. Leave the Vietnamese name empty and try to save.
2. Fill VI, leave EN empty, and save.
3. Add the product to a quotation and generate the PDF.</t>
        </is>
      </c>
      <c r="H8" s="6" t="inlineStr">
        <is>
          <t>-</t>
        </is>
      </c>
      <c r="I8" s="6" t="inlineStr">
        <is>
          <t>The save is refused with no Vietnamese name.
It saves with no English name.
On the bilingual quotation PDF, the English name is what appears in the English column — if it is missing, note what the PDF prints instead.</t>
        </is>
      </c>
      <c r="J8" s="20" t="inlineStr"/>
      <c r="K8" s="21" t="inlineStr"/>
      <c r="L8" s="20" t="inlineStr"/>
      <c r="M8" s="21" t="inlineStr"/>
      <c r="N8" s="20" t="inlineStr"/>
    </row>
    <row r="9" ht="40.5" customHeight="1">
      <c r="A9" s="22" t="inlineStr">
        <is>
          <t>AD-01-06</t>
        </is>
      </c>
      <c r="B9" s="23" t="inlineStr">
        <is>
          <t>Activation window</t>
        </is>
      </c>
      <c r="C9" s="23" t="inlineStr">
        <is>
          <t>Activation window defaults to 12 months and offers 3 / 6 / 12 / 18 / 24</t>
        </is>
      </c>
      <c r="D9" s="18" t="inlineStr">
        <is>
          <t>Positive</t>
        </is>
      </c>
      <c r="E9" s="19" t="inlineStr">
        <is>
          <t>High</t>
        </is>
      </c>
      <c r="F9" s="23" t="inlineStr">
        <is>
          <t>You are creating a posting-tier product.</t>
        </is>
      </c>
      <c r="G9" s="23" t="inlineStr">
        <is>
          <t>1. Look at the 'activation window' field before touching it.
2. Open its list of choices.</t>
        </is>
      </c>
      <c r="H9" s="23" t="inlineStr">
        <is>
          <t>-</t>
        </is>
      </c>
      <c r="I9" s="23" t="inlineStr">
        <is>
          <t>It defaults to 12 months (the client's T&amp;C clause 4).
The only choices are 3, 6, 12, 18 and 24 months.
It sits on the PRODUCT — it is not a single global setting.</t>
        </is>
      </c>
      <c r="J9" s="20" t="inlineStr"/>
      <c r="K9" s="21" t="inlineStr"/>
      <c r="L9" s="20" t="inlineStr"/>
      <c r="M9" s="21" t="inlineStr"/>
      <c r="N9" s="20" t="inlineStr"/>
    </row>
    <row r="10" ht="40.5" customHeight="1">
      <c r="A10" s="17" t="inlineStr">
        <is>
          <t>AD-01-07</t>
        </is>
      </c>
      <c r="B10" s="6" t="inlineStr">
        <is>
          <t>Activation window</t>
        </is>
      </c>
      <c r="C10" s="6" t="inlineStr">
        <is>
          <t>Two different products can carry two different activation windows</t>
        </is>
      </c>
      <c r="D10" s="18" t="inlineStr">
        <is>
          <t>Positive</t>
        </is>
      </c>
      <c r="E10" s="19" t="inlineStr">
        <is>
          <t>High</t>
        </is>
      </c>
      <c r="F10" s="6" t="inlineStr">
        <is>
          <t>You can create two products.</t>
        </is>
      </c>
      <c r="G10" s="6" t="inlineStr">
        <is>
          <t>1. Create a paid Top Job product with a 12-month activation window.
2. Create a trial posting product with a 3-month activation window.
3. Save both and re-open them.</t>
        </is>
      </c>
      <c r="H10" s="6" t="inlineStr">
        <is>
          <t>-</t>
        </is>
      </c>
      <c r="I10" s="6" t="inlineStr">
        <is>
          <t>Each product keeps its own window.
Setting one does not change the other.</t>
        </is>
      </c>
      <c r="J10" s="20" t="inlineStr"/>
      <c r="K10" s="21" t="inlineStr"/>
      <c r="L10" s="20" t="inlineStr"/>
      <c r="M10" s="21" t="inlineStr"/>
      <c r="N10" s="20" t="inlineStr"/>
    </row>
    <row r="11" ht="40.5" customHeight="1">
      <c r="A11" s="22" t="inlineStr">
        <is>
          <t>AD-01-08</t>
        </is>
      </c>
      <c r="B11" s="23" t="inlineStr">
        <is>
          <t>Create product</t>
        </is>
      </c>
      <c r="C11" s="23" t="inlineStr">
        <is>
          <t>A product marked 'Always available' needs no price</t>
        </is>
      </c>
      <c r="D11" s="26" t="inlineStr">
        <is>
          <t>Edge</t>
        </is>
      </c>
      <c r="E11" s="19" t="inlineStr">
        <is>
          <t>High</t>
        </is>
      </c>
      <c r="F11" s="23" t="inlineStr">
        <is>
          <t>You are creating a job-posting product.</t>
        </is>
      </c>
      <c r="G11" s="23" t="inlineStr">
        <is>
          <t>1. Set entitlementSource = Always available (the Admin-only free tier).
2. Leave the list price empty.
3. Save and activate it.</t>
        </is>
      </c>
      <c r="H11" s="23" t="inlineStr">
        <is>
          <t>-</t>
        </is>
      </c>
      <c r="I11" s="23" t="inlineStr">
        <is>
          <t>The product saves and activates with no price.
No activation window is asked for either — this tier is never invoiced, so there is no invoice date to count from.</t>
        </is>
      </c>
      <c r="J11" s="20" t="inlineStr"/>
      <c r="K11" s="21" t="inlineStr"/>
      <c r="L11" s="20" t="inlineStr"/>
      <c r="M11" s="21" t="inlineStr"/>
      <c r="N11" s="20" t="inlineStr"/>
    </row>
    <row r="12" ht="40.5" customHeight="1">
      <c r="A12" s="17" t="inlineStr">
        <is>
          <t>AD-01-09</t>
        </is>
      </c>
      <c r="B12" s="6" t="inlineStr">
        <is>
          <t>Create product</t>
        </is>
      </c>
      <c r="C12" s="6" t="inlineStr">
        <is>
          <t>A product marked 'Requires purchase' must have a price</t>
        </is>
      </c>
      <c r="D12" s="24" t="inlineStr">
        <is>
          <t>Negative</t>
        </is>
      </c>
      <c r="E12" s="19" t="inlineStr">
        <is>
          <t>High</t>
        </is>
      </c>
      <c r="F12" s="6" t="inlineStr">
        <is>
          <t>You are creating a job-posting product.</t>
        </is>
      </c>
      <c r="G12" s="6" t="inlineStr">
        <is>
          <t>1. Set entitlementSource = Requires purchase.
2. Leave the list price empty.
3. Try to activate it.</t>
        </is>
      </c>
      <c r="H12" s="6" t="inlineStr">
        <is>
          <t>-</t>
        </is>
      </c>
      <c r="I12" s="6" t="inlineStr">
        <is>
          <t>Activation is refused until a price is set.</t>
        </is>
      </c>
      <c r="J12" s="20" t="inlineStr"/>
      <c r="K12" s="21" t="inlineStr"/>
      <c r="L12" s="20" t="inlineStr"/>
      <c r="M12" s="21" t="inlineStr"/>
      <c r="N12" s="20" t="inlineStr"/>
    </row>
    <row r="13" ht="40.5" customHeight="1">
      <c r="A13" s="22" t="inlineStr">
        <is>
          <t>AD-01-10</t>
        </is>
      </c>
      <c r="B13" s="23" t="inlineStr">
        <is>
          <t>Create product</t>
        </is>
      </c>
      <c r="C13" s="23" t="inlineStr">
        <is>
          <t>An add-on with nothing to attach to cannot be sold</t>
        </is>
      </c>
      <c r="D13" s="24" t="inlineStr">
        <is>
          <t>Negative</t>
        </is>
      </c>
      <c r="E13" s="19" t="inlineStr">
        <is>
          <t>High</t>
        </is>
      </c>
      <c r="F13" s="23" t="inlineStr">
        <is>
          <t>You are creating an Add-on product.</t>
        </is>
      </c>
      <c r="G13" s="23" t="inlineStr">
        <is>
          <t>1. Leave 'attaches to' empty.
2. Try to activate the product.
3. If it activates, open a quotation and try to add it as a standalone line.</t>
        </is>
      </c>
      <c r="H13" s="23" t="inlineStr">
        <is>
          <t>-</t>
        </is>
      </c>
      <c r="I13" s="23" t="inlineStr">
        <is>
          <t>Either activation is refused, or the add-on can never be added to a quotation on its own.
An add-on with no parent tier must not be sellable.</t>
        </is>
      </c>
      <c r="J13" s="20" t="inlineStr"/>
      <c r="K13" s="21" t="inlineStr"/>
      <c r="L13" s="20" t="inlineStr"/>
      <c r="M13" s="21" t="inlineStr"/>
      <c r="N13" s="20" t="inlineStr"/>
    </row>
    <row r="14" ht="40.5" customHeight="1">
      <c r="A14" s="17" t="inlineStr">
        <is>
          <t>AD-01-11</t>
        </is>
      </c>
      <c r="B14" s="6" t="inlineStr">
        <is>
          <t>Create product</t>
        </is>
      </c>
      <c r="C14" s="6" t="inlineStr">
        <is>
          <t>A placement product must point at a real placement in the registry</t>
        </is>
      </c>
      <c r="D14" s="24" t="inlineStr">
        <is>
          <t>Negative</t>
        </is>
      </c>
      <c r="E14" s="19" t="inlineStr">
        <is>
          <t>High</t>
        </is>
      </c>
      <c r="F14" s="6" t="inlineStr">
        <is>
          <t>The Placements registry has at least one row.</t>
        </is>
      </c>
      <c r="G14" s="6" t="inlineStr">
        <is>
          <t>1. Create a Placement booking product.
2. Try to save it WITHOUT choosing a placement.
3. Choose a placement and look at the size / items shown / rotation.</t>
        </is>
      </c>
      <c r="H14" s="6" t="inlineStr">
        <is>
          <t>-</t>
        </is>
      </c>
      <c r="I14" s="6" t="inlineStr">
        <is>
          <t>It cannot be activated without a placement from the registry.
Once chosen, the size and the number of items shown are READ from that row and cannot be re-typed here.</t>
        </is>
      </c>
      <c r="J14" s="20" t="inlineStr"/>
      <c r="K14" s="21" t="inlineStr"/>
      <c r="L14" s="20" t="inlineStr"/>
      <c r="M14" s="21" t="inlineStr"/>
      <c r="N14" s="20" t="inlineStr"/>
    </row>
    <row r="15" ht="28" customHeight="1">
      <c r="A15" s="22" t="inlineStr">
        <is>
          <t>AD-01-12</t>
        </is>
      </c>
      <c r="B15" s="23" t="inlineStr">
        <is>
          <t>Activation</t>
        </is>
      </c>
      <c r="C15" s="23" t="inlineStr">
        <is>
          <t>A product with an incomplete definition cannot be activated</t>
        </is>
      </c>
      <c r="D15" s="24" t="inlineStr">
        <is>
          <t>Negative</t>
        </is>
      </c>
      <c r="E15" s="19" t="inlineStr">
        <is>
          <t>High</t>
        </is>
      </c>
      <c r="F15" s="23" t="inlineStr">
        <is>
          <t>You have a posting-tier product with no quota / validity filled in.</t>
        </is>
      </c>
      <c r="G15" s="23" t="inlineStr">
        <is>
          <t>1. Try to activate it.
2. Read the message.</t>
        </is>
      </c>
      <c r="H15" s="23" t="inlineStr">
        <is>
          <t>-</t>
        </is>
      </c>
      <c r="I15" s="23" t="inlineStr">
        <is>
          <t>Activation is blocked, and the message names exactly what is missing.
A product must say clearly what the buyer receives before it can be sold.</t>
        </is>
      </c>
      <c r="J15" s="20" t="inlineStr"/>
      <c r="K15" s="21" t="inlineStr"/>
      <c r="L15" s="20" t="inlineStr"/>
      <c r="M15" s="21" t="inlineStr"/>
      <c r="N15" s="20" t="inlineStr"/>
    </row>
    <row r="16" ht="28" customHeight="1">
      <c r="A16" s="17" t="inlineStr">
        <is>
          <t>AD-01-13</t>
        </is>
      </c>
      <c r="B16" s="6" t="inlineStr">
        <is>
          <t>Activation</t>
        </is>
      </c>
      <c r="C16" s="6" t="inlineStr">
        <is>
          <t>Only an Active product appears in a quotation</t>
        </is>
      </c>
      <c r="D16" s="18" t="inlineStr">
        <is>
          <t>Positive</t>
        </is>
      </c>
      <c r="E16" s="19" t="inlineStr">
        <is>
          <t>High</t>
        </is>
      </c>
      <c r="F16" s="6" t="inlineStr">
        <is>
          <t>You have one Active product and one Inactive product.</t>
        </is>
      </c>
      <c r="G16" s="6" t="inlineStr">
        <is>
          <t>1. Open a new quotation.
2. Open the product picker and search for both products.</t>
        </is>
      </c>
      <c r="H16" s="6" t="inlineStr">
        <is>
          <t>-</t>
        </is>
      </c>
      <c r="I16" s="6" t="inlineStr">
        <is>
          <t>Only the Active product can be chosen.
The Inactive one does not appear at all.</t>
        </is>
      </c>
      <c r="J16" s="20" t="inlineStr"/>
      <c r="K16" s="21" t="inlineStr"/>
      <c r="L16" s="20" t="inlineStr"/>
      <c r="M16" s="21" t="inlineStr"/>
      <c r="N16" s="20" t="inlineStr"/>
    </row>
    <row r="17" ht="28" customHeight="1">
      <c r="A17" s="22" t="inlineStr">
        <is>
          <t>AD-01-14</t>
        </is>
      </c>
      <c r="B17" s="23" t="inlineStr">
        <is>
          <t>Entitlement preview</t>
        </is>
      </c>
      <c r="C17" s="23" t="inlineStr">
        <is>
          <t>The preview sentence says in plain words what the buyer gets</t>
        </is>
      </c>
      <c r="D17" s="18" t="inlineStr">
        <is>
          <t>Positive</t>
        </is>
      </c>
      <c r="E17" s="25" t="inlineStr">
        <is>
          <t>Medium</t>
        </is>
      </c>
      <c r="F17" s="23" t="inlineStr">
        <is>
          <t>You are creating a posting-tier product with 10 slots and a 12-month window.</t>
        </is>
      </c>
      <c r="G17" s="23" t="inlineStr">
        <is>
          <t>1. Fill in the fulfilment fields.
2. Read the entitlement preview.</t>
        </is>
      </c>
      <c r="H17" s="23" t="inlineStr">
        <is>
          <t>-</t>
        </is>
      </c>
      <c r="I17" s="23" t="inlineStr">
        <is>
          <t>It reads as one plain sentence, for example '10 slots at Top Job, valid 12 months'.
It matches exactly what you typed.</t>
        </is>
      </c>
      <c r="J17" s="20" t="inlineStr"/>
      <c r="K17" s="21" t="inlineStr"/>
      <c r="L17" s="20" t="inlineStr"/>
      <c r="M17" s="21" t="inlineStr"/>
      <c r="N17" s="20" t="inlineStr"/>
    </row>
    <row r="18" ht="40.5" customHeight="1">
      <c r="A18" s="17" t="inlineStr">
        <is>
          <t>AD-01-15</t>
        </is>
      </c>
      <c r="B18" s="6" t="inlineStr">
        <is>
          <t>Price change</t>
        </is>
      </c>
      <c r="C18" s="6" t="inlineStr">
        <is>
          <t>Changing the price of a never-sold product edits it in place</t>
        </is>
      </c>
      <c r="D18" s="18" t="inlineStr">
        <is>
          <t>Positive</t>
        </is>
      </c>
      <c r="E18" s="25" t="inlineStr">
        <is>
          <t>Medium</t>
        </is>
      </c>
      <c r="F18" s="6" t="inlineStr">
        <is>
          <t>You have an Active product that has never been sold.</t>
        </is>
      </c>
      <c r="G18" s="6" t="inlineStr">
        <is>
          <t>1. Change the list price.
2. Save.
3. Re-open the product.</t>
        </is>
      </c>
      <c r="H18" s="6" t="inlineStr">
        <is>
          <t>New price: 3,000,000</t>
        </is>
      </c>
      <c r="I18" s="6" t="inlineStr">
        <is>
          <t>The price is simply changed — no new version is created.</t>
        </is>
      </c>
      <c r="J18" s="20" t="inlineStr"/>
      <c r="K18" s="21" t="inlineStr"/>
      <c r="L18" s="20" t="inlineStr"/>
      <c r="M18" s="21" t="inlineStr"/>
      <c r="N18" s="20" t="inlineStr"/>
    </row>
    <row r="19" ht="54" customHeight="1">
      <c r="A19" s="22" t="inlineStr">
        <is>
          <t>AD-01-16</t>
        </is>
      </c>
      <c r="B19" s="23" t="inlineStr">
        <is>
          <t>Price change</t>
        </is>
      </c>
      <c r="C19" s="23" t="inlineStr">
        <is>
          <t>Changing the price of a SOLD product creates a new version and does not reprice old orders</t>
        </is>
      </c>
      <c r="D19" s="26" t="inlineStr">
        <is>
          <t>Edge</t>
        </is>
      </c>
      <c r="E19" s="19" t="inlineStr">
        <is>
          <t>High</t>
        </is>
      </c>
      <c r="F19" s="23" t="inlineStr">
        <is>
          <t>A product has been sold on at least one quotation / PO / invoice.</t>
        </is>
      </c>
      <c r="G19" s="23" t="inlineStr">
        <is>
          <t>1. Note the price on the existing PO or invoice.
2. Change the product's price and save.
3. Look for a version + effective date.
4. Re-open the old PO / invoice and check its price.</t>
        </is>
      </c>
      <c r="H19" s="23" t="inlineStr">
        <is>
          <t>Old price: 2,710,000
New price: 3,200,000</t>
        </is>
      </c>
      <c r="I19" s="23" t="inlineStr">
        <is>
          <t>A NEW VERSION is created with an effective date — the old price is not overwritten.
The old PO / invoice still shows the price it was sold at.
If the old document reprices itself, mark Fail.</t>
        </is>
      </c>
      <c r="J19" s="20" t="inlineStr"/>
      <c r="K19" s="21" t="inlineStr"/>
      <c r="L19" s="20" t="inlineStr"/>
      <c r="M19" s="21" t="inlineStr"/>
      <c r="N19" s="20" t="inlineStr"/>
    </row>
    <row r="20" ht="40.5" customHeight="1">
      <c r="A20" s="17" t="inlineStr">
        <is>
          <t>AD-01-17</t>
        </is>
      </c>
      <c r="B20" s="6" t="inlineStr">
        <is>
          <t>SKU</t>
        </is>
      </c>
      <c r="C20" s="6" t="inlineStr">
        <is>
          <t>A SKU cannot be changed once the product has been sold, but the name can</t>
        </is>
      </c>
      <c r="D20" s="24" t="inlineStr">
        <is>
          <t>Negative</t>
        </is>
      </c>
      <c r="E20" s="19" t="inlineStr">
        <is>
          <t>High</t>
        </is>
      </c>
      <c r="F20" s="6" t="inlineStr">
        <is>
          <t>A product has been sold at least once.</t>
        </is>
      </c>
      <c r="G20" s="6" t="inlineStr">
        <is>
          <t>1. Try to change the SKU.
2. Change the product NAME and save.
3. Open the old quotation / PO for that product.</t>
        </is>
      </c>
      <c r="H20" s="6" t="inlineStr">
        <is>
          <t>New name: Basic Job (renamed)</t>
        </is>
      </c>
      <c r="I20" s="6" t="inlineStr">
        <is>
          <t>The SKU cannot be edited.
The name CAN be changed.
The old documents still resolve correctly — that is the whole point of having a SKU.</t>
        </is>
      </c>
      <c r="J20" s="20" t="inlineStr"/>
      <c r="K20" s="21" t="inlineStr"/>
      <c r="L20" s="20" t="inlineStr"/>
      <c r="M20" s="21" t="inlineStr"/>
      <c r="N20" s="20" t="inlineStr"/>
    </row>
    <row r="21" ht="54" customHeight="1">
      <c r="A21" s="22" t="inlineStr">
        <is>
          <t>AD-01-18</t>
        </is>
      </c>
      <c r="B21" s="23" t="inlineStr">
        <is>
          <t>Delete / deactivate</t>
        </is>
      </c>
      <c r="C21" s="23" t="inlineStr">
        <is>
          <t>A sold product can be deactivated but never deleted</t>
        </is>
      </c>
      <c r="D21" s="24" t="inlineStr">
        <is>
          <t>Negative</t>
        </is>
      </c>
      <c r="E21" s="19" t="inlineStr">
        <is>
          <t>High</t>
        </is>
      </c>
      <c r="F21" s="23" t="inlineStr">
        <is>
          <t>You have one sold product and one Inactive product that has never been sold.</t>
        </is>
      </c>
      <c r="G21" s="23" t="inlineStr">
        <is>
          <t>1. Try to delete the sold product.
2. Deactivate it instead.
3. Open an old order that used it.
4. Try to delete the never-sold Inactive product.</t>
        </is>
      </c>
      <c r="H21" s="23" t="inlineStr">
        <is>
          <t>-</t>
        </is>
      </c>
      <c r="I21" s="23" t="inlineStr">
        <is>
          <t>The sold product cannot be deleted, only deactivated.
After deactivating, every past order and entitlement still opens correctly.
The never-sold Inactive product CAN be deleted.</t>
        </is>
      </c>
      <c r="J21" s="20" t="inlineStr"/>
      <c r="K21" s="21" t="inlineStr"/>
      <c r="L21" s="20" t="inlineStr"/>
      <c r="M21" s="21" t="inlineStr"/>
      <c r="N21" s="20" t="inlineStr"/>
    </row>
    <row r="22" ht="40.5" customHeight="1">
      <c r="A22" s="17" t="inlineStr">
        <is>
          <t>AD-01-19</t>
        </is>
      </c>
      <c r="B22" s="6" t="inlineStr">
        <is>
          <t>Products list</t>
        </is>
      </c>
      <c r="C22" s="6" t="inlineStr">
        <is>
          <t>The sold count is shown per product</t>
        </is>
      </c>
      <c r="D22" s="18" t="inlineStr">
        <is>
          <t>Positive</t>
        </is>
      </c>
      <c r="E22" s="27" t="inlineStr">
        <is>
          <t>Low</t>
        </is>
      </c>
      <c r="F22" s="6" t="inlineStr">
        <is>
          <t>At least one product has been sold.</t>
        </is>
      </c>
      <c r="G22" s="6" t="inlineStr">
        <is>
          <t>1. Look at the Sold count column for that product.
2. Sell one more (issue an invoice on a PO containing it).
3. Refresh the list.</t>
        </is>
      </c>
      <c r="H22" s="6" t="inlineStr">
        <is>
          <t>-</t>
        </is>
      </c>
      <c r="I22" s="6" t="inlineStr">
        <is>
          <t>The sold count reflects paid order lines and goes up after a new sale.</t>
        </is>
      </c>
      <c r="J22" s="20" t="inlineStr"/>
      <c r="K22" s="21" t="inlineStr"/>
      <c r="L22" s="20" t="inlineStr"/>
      <c r="M22" s="21" t="inlineStr"/>
      <c r="N22" s="20" t="inlineStr"/>
    </row>
    <row r="23" ht="28" customHeight="1">
      <c r="A23" s="22" t="inlineStr">
        <is>
          <t>AD-01-20</t>
        </is>
      </c>
      <c r="B23" s="23" t="inlineStr">
        <is>
          <t>Create product</t>
        </is>
      </c>
      <c r="C23" s="23" t="inlineStr">
        <is>
          <t>Every product must declare a VAT rate</t>
        </is>
      </c>
      <c r="D23" s="24" t="inlineStr">
        <is>
          <t>Negative</t>
        </is>
      </c>
      <c r="E23" s="19" t="inlineStr">
        <is>
          <t>High</t>
        </is>
      </c>
      <c r="F23" s="23" t="inlineStr">
        <is>
          <t>You are creating a product.</t>
        </is>
      </c>
      <c r="G23" s="23" t="inlineStr">
        <is>
          <t>1. Leave the VAT rate empty.
2. Try to save / activate.</t>
        </is>
      </c>
      <c r="H23" s="23" t="inlineStr">
        <is>
          <t>-</t>
        </is>
      </c>
      <c r="I23" s="23" t="inlineStr">
        <is>
          <t>It cannot be activated without a VAT rate — otherwise the quotation and the VAT invoice could disagree with each other.</t>
        </is>
      </c>
      <c r="J23" s="20" t="inlineStr"/>
      <c r="K23" s="21" t="inlineStr"/>
      <c r="L23" s="20" t="inlineStr"/>
      <c r="M23" s="21" t="inlineStr"/>
      <c r="N23" s="20" t="inlineStr"/>
    </row>
  </sheetData>
  <autoFilter ref="A3:N23"/>
  <mergeCells count="2">
    <mergeCell ref="A2:N2"/>
    <mergeCell ref="A1:N1"/>
  </mergeCells>
  <dataValidations count="1">
    <dataValidation sqref="K4:K23"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3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AD-02 · CRM Companies — create a customer, company ID, tax code checks</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AD-02-01</t>
        </is>
      </c>
      <c r="B4" s="6" t="inlineStr">
        <is>
          <t>New company</t>
        </is>
      </c>
      <c r="C4" s="6" t="inlineStr">
        <is>
          <t>'+ New company' opens a full page with four sections</t>
        </is>
      </c>
      <c r="D4" s="18" t="inlineStr">
        <is>
          <t>Positive</t>
        </is>
      </c>
      <c r="E4" s="19" t="inlineStr">
        <is>
          <t>High</t>
        </is>
      </c>
      <c r="F4" s="6" t="inlineStr">
        <is>
          <t>You are signed in to Admin as a sales user.</t>
        </is>
      </c>
      <c r="G4" s="6" t="inlineStr">
        <is>
          <t>1. Go to CRM → Companies.
2. Click '+ New company'.
3. Look at the page.</t>
        </is>
      </c>
      <c r="H4" s="6" t="inlineStr">
        <is>
          <t>-</t>
        </is>
      </c>
      <c r="I4" s="6" t="inlineStr">
        <is>
          <t>A full page opens (not a small pop-up dialog), and the URL can be copied and reloaded.
There are four sections in this order: Company information, Company verification document, Primary contact, Sales.</t>
        </is>
      </c>
      <c r="J4" s="20" t="inlineStr"/>
      <c r="K4" s="21" t="inlineStr"/>
      <c r="L4" s="20" t="inlineStr"/>
      <c r="M4" s="21" t="inlineStr"/>
      <c r="N4" s="20" t="inlineStr"/>
    </row>
    <row r="5" ht="54" customHeight="1">
      <c r="A5" s="22" t="inlineStr">
        <is>
          <t>AD-02-02</t>
        </is>
      </c>
      <c r="B5" s="23" t="inlineStr">
        <is>
          <t>New company</t>
        </is>
      </c>
      <c r="C5" s="23" t="inlineStr">
        <is>
          <t>Create a company with everything required filled in</t>
        </is>
      </c>
      <c r="D5" s="18" t="inlineStr">
        <is>
          <t>Positive</t>
        </is>
      </c>
      <c r="E5" s="19" t="inlineStr">
        <is>
          <t>High</t>
        </is>
      </c>
      <c r="F5" s="23" t="inlineStr">
        <is>
          <t>You are on the New company page.</t>
        </is>
      </c>
      <c r="G5" s="23" t="inlineStr">
        <is>
          <t>1. Fill Legal name and Tax code (MST).
2. Pick country Việt Nam and a province, and type an address.
3. Fill the Primary contact: name, phone and email.
4. Click Save.</t>
        </is>
      </c>
      <c r="H5" s="23" t="inlineStr">
        <is>
          <t>Legal name: CÔNG TY TNHH TEST QA
MST: 0301234599
Contact: Tran Thi B, 0909111222, b.test@mail.com</t>
        </is>
      </c>
      <c r="I5" s="23" t="inlineStr">
        <is>
          <t>The company is created and its detail page opens.
Customer status is 'New' (they have never bought anything).
Pipeline status is 'Not in pipeline' (no deal yet).</t>
        </is>
      </c>
      <c r="J5" s="20" t="inlineStr"/>
      <c r="K5" s="21" t="inlineStr"/>
      <c r="L5" s="20" t="inlineStr"/>
      <c r="M5" s="21" t="inlineStr"/>
      <c r="N5" s="20" t="inlineStr"/>
    </row>
    <row r="6" ht="28" customHeight="1">
      <c r="A6" s="17" t="inlineStr">
        <is>
          <t>AD-02-03</t>
        </is>
      </c>
      <c r="B6" s="6" t="inlineStr">
        <is>
          <t>New company</t>
        </is>
      </c>
      <c r="C6" s="6" t="inlineStr">
        <is>
          <t>Legal name and tax code are required</t>
        </is>
      </c>
      <c r="D6" s="24" t="inlineStr">
        <is>
          <t>Negative</t>
        </is>
      </c>
      <c r="E6" s="19" t="inlineStr">
        <is>
          <t>High</t>
        </is>
      </c>
      <c r="F6" s="6" t="inlineStr">
        <is>
          <t>You are on the New company page.</t>
        </is>
      </c>
      <c r="G6" s="6" t="inlineStr">
        <is>
          <t>1. Leave Legal name empty, fill everything else, and save.
2. Fill Legal name, clear the Tax code, and save.</t>
        </is>
      </c>
      <c r="H6" s="6" t="inlineStr">
        <is>
          <t>-</t>
        </is>
      </c>
      <c r="I6" s="6" t="inlineStr">
        <is>
          <t>Both saves are refused, each naming the missing field.
The rest of what you typed stays on screen.</t>
        </is>
      </c>
      <c r="J6" s="20" t="inlineStr"/>
      <c r="K6" s="21" t="inlineStr"/>
      <c r="L6" s="20" t="inlineStr"/>
      <c r="M6" s="21" t="inlineStr"/>
      <c r="N6" s="20" t="inlineStr"/>
    </row>
    <row r="7" ht="28" customHeight="1">
      <c r="A7" s="22" t="inlineStr">
        <is>
          <t>AD-02-04</t>
        </is>
      </c>
      <c r="B7" s="23" t="inlineStr">
        <is>
          <t>New company</t>
        </is>
      </c>
      <c r="C7" s="23" t="inlineStr">
        <is>
          <t>The primary contact needs BOTH a phone and an email</t>
        </is>
      </c>
      <c r="D7" s="24" t="inlineStr">
        <is>
          <t>Negative</t>
        </is>
      </c>
      <c r="E7" s="19" t="inlineStr">
        <is>
          <t>High</t>
        </is>
      </c>
      <c r="F7" s="23" t="inlineStr">
        <is>
          <t>You are on the New company page.</t>
        </is>
      </c>
      <c r="G7" s="23" t="inlineStr">
        <is>
          <t>1. Fill everything, but leave the contact phone empty. Save.
2. Fill the phone, clear the contact email. Save.</t>
        </is>
      </c>
      <c r="H7" s="23" t="inlineStr">
        <is>
          <t>-</t>
        </is>
      </c>
      <c r="I7" s="23" t="inlineStr">
        <is>
          <t>Both saves are refused.
A contact must have both channels — one is not enough when the other bounces.</t>
        </is>
      </c>
      <c r="J7" s="20" t="inlineStr"/>
      <c r="K7" s="21" t="inlineStr"/>
      <c r="L7" s="20" t="inlineStr"/>
      <c r="M7" s="21" t="inlineStr"/>
      <c r="N7" s="20" t="inlineStr"/>
    </row>
    <row r="8" ht="40.5" customHeight="1">
      <c r="A8" s="17" t="inlineStr">
        <is>
          <t>AD-02-05</t>
        </is>
      </c>
      <c r="B8" s="6" t="inlineStr">
        <is>
          <t>Company ID</t>
        </is>
      </c>
      <c r="C8" s="6" t="inlineStr">
        <is>
          <t>A company ID is created on save, in the format CO-XXXXXXX</t>
        </is>
      </c>
      <c r="D8" s="18" t="inlineStr">
        <is>
          <t>Positive</t>
        </is>
      </c>
      <c r="E8" s="19" t="inlineStr">
        <is>
          <t>High</t>
        </is>
      </c>
      <c r="F8" s="6" t="inlineStr">
        <is>
          <t>You just created a company.</t>
        </is>
      </c>
      <c r="G8" s="6" t="inlineStr">
        <is>
          <t>1. Look at the New company FORM before saving — is there a Company ID field?
2. Save.
3. Look at the company detail header, at the Basic info card, and at the URL.</t>
        </is>
      </c>
      <c r="H8" s="6" t="inlineStr">
        <is>
          <t>-</t>
        </is>
      </c>
      <c r="I8" s="6" t="inlineStr">
        <is>
          <t>There is NO Company ID box on the form (you cannot fill it, so it is not shown).
After saving, an ID like CO-P9FCEPD appears in the header, in the first row of Basic info, and in the URL.</t>
        </is>
      </c>
      <c r="J8" s="20" t="inlineStr"/>
      <c r="K8" s="21" t="inlineStr"/>
      <c r="L8" s="20" t="inlineStr"/>
      <c r="M8" s="21" t="inlineStr"/>
      <c r="N8" s="20" t="inlineStr"/>
    </row>
    <row r="9" ht="40.5" customHeight="1">
      <c r="A9" s="22" t="inlineStr">
        <is>
          <t>AD-02-06</t>
        </is>
      </c>
      <c r="B9" s="23" t="inlineStr">
        <is>
          <t>Company ID</t>
        </is>
      </c>
      <c r="C9" s="23" t="inlineStr">
        <is>
          <t>The company ID never changes</t>
        </is>
      </c>
      <c r="D9" s="26" t="inlineStr">
        <is>
          <t>Edge</t>
        </is>
      </c>
      <c r="E9" s="19" t="inlineStr">
        <is>
          <t>High</t>
        </is>
      </c>
      <c r="F9" s="23" t="inlineStr">
        <is>
          <t>A company exists with a known ID.</t>
        </is>
      </c>
      <c r="G9" s="23" t="inlineStr">
        <is>
          <t>1. Write down the ID.
2. Edit the legal name, the tax code and the sales owner. Save.
3. Check the ID again.</t>
        </is>
      </c>
      <c r="H9" s="23" t="inlineStr">
        <is>
          <t>-</t>
        </is>
      </c>
      <c r="I9" s="23" t="inlineStr">
        <is>
          <t>The ID is exactly the same.
There is no way to edit it anywhere in the UI.</t>
        </is>
      </c>
      <c r="J9" s="20" t="inlineStr"/>
      <c r="K9" s="21" t="inlineStr"/>
      <c r="L9" s="20" t="inlineStr"/>
      <c r="M9" s="21" t="inlineStr"/>
      <c r="N9" s="20" t="inlineStr"/>
    </row>
    <row r="10" ht="40.5" customHeight="1">
      <c r="A10" s="17" t="inlineStr">
        <is>
          <t>AD-02-07</t>
        </is>
      </c>
      <c r="B10" s="6" t="inlineStr">
        <is>
          <t>Company ID</t>
        </is>
      </c>
      <c r="C10" s="6" t="inlineStr">
        <is>
          <t>Searching by company ID is forgiving about how you type it</t>
        </is>
      </c>
      <c r="D10" s="18" t="inlineStr">
        <is>
          <t>Positive</t>
        </is>
      </c>
      <c r="E10" s="19" t="inlineStr">
        <is>
          <t>High</t>
        </is>
      </c>
      <c r="F10" s="6" t="inlineStr">
        <is>
          <t>A company with ID CO-Y2FKY36 exists (use your own real ID).</t>
        </is>
      </c>
      <c r="G10" s="6" t="inlineStr">
        <is>
          <t>1. Search the full ID with the CO- prefix.
2. Search it in small letters with no prefix (y2fky36).
3. Search it typing the letter O instead of the digit 0, if the ID contains a 0.</t>
        </is>
      </c>
      <c r="H10" s="6" t="inlineStr">
        <is>
          <t>The real ID of your test company</t>
        </is>
      </c>
      <c r="I10" s="6" t="inlineStr">
        <is>
          <t>All three searches find the same company.
The prefix is optional, capitals do not matter, and O/0 and I/L/1 are treated as the same.</t>
        </is>
      </c>
      <c r="J10" s="20" t="inlineStr"/>
      <c r="K10" s="21" t="inlineStr"/>
      <c r="L10" s="20" t="inlineStr"/>
      <c r="M10" s="21" t="inlineStr"/>
      <c r="N10" s="20" t="inlineStr"/>
    </row>
    <row r="11" ht="28" customHeight="1">
      <c r="A11" s="22" t="inlineStr">
        <is>
          <t>AD-02-08</t>
        </is>
      </c>
      <c r="B11" s="23" t="inlineStr">
        <is>
          <t>Company ID</t>
        </is>
      </c>
      <c r="C11" s="23" t="inlineStr">
        <is>
          <t>A mistyped company ID does NOT open a different company</t>
        </is>
      </c>
      <c r="D11" s="24" t="inlineStr">
        <is>
          <t>Negative</t>
        </is>
      </c>
      <c r="E11" s="19" t="inlineStr">
        <is>
          <t>High</t>
        </is>
      </c>
      <c r="F11" s="23" t="inlineStr">
        <is>
          <t>A company with a known ID exists.</t>
        </is>
      </c>
      <c r="G11" s="23" t="inlineStr">
        <is>
          <t>1. Take the real ID and change the LAST character to something else.
2. Search for it.</t>
        </is>
      </c>
      <c r="H11" s="23" t="inlineStr">
        <is>
          <t>A deliberately wrong last character</t>
        </is>
      </c>
      <c r="I11" s="23" t="inlineStr">
        <is>
          <t>Nothing is found, or an 'invalid ID' message is shown.
A wrong ID must NEVER open some other company's record.</t>
        </is>
      </c>
      <c r="J11" s="20" t="inlineStr"/>
      <c r="K11" s="21" t="inlineStr"/>
      <c r="L11" s="20" t="inlineStr"/>
      <c r="M11" s="21" t="inlineStr"/>
      <c r="N11" s="20" t="inlineStr"/>
    </row>
    <row r="12" ht="40.5" customHeight="1">
      <c r="A12" s="17" t="inlineStr">
        <is>
          <t>AD-02-09</t>
        </is>
      </c>
      <c r="B12" s="6" t="inlineStr">
        <is>
          <t>Tax code</t>
        </is>
      </c>
      <c r="C12" s="6" t="inlineStr">
        <is>
          <t>An identical full tax code blocks the save</t>
        </is>
      </c>
      <c r="D12" s="24" t="inlineStr">
        <is>
          <t>Negative</t>
        </is>
      </c>
      <c r="E12" s="19" t="inlineStr">
        <is>
          <t>High</t>
        </is>
      </c>
      <c r="F12" s="6" t="inlineStr">
        <is>
          <t>A company already exists with MST 0301234599.</t>
        </is>
      </c>
      <c r="G12" s="6" t="inlineStr">
        <is>
          <t>1. Start a new company and type the same MST 0301234599.
2. Fill the rest and save.</t>
        </is>
      </c>
      <c r="H12" s="6" t="inlineStr">
        <is>
          <t>MST: 0301234599</t>
        </is>
      </c>
      <c r="I12" s="6" t="inlineStr">
        <is>
          <t>The save is BLOCKED.
The error names the existing company and gives a link to open it.
No duplicate company is created.</t>
        </is>
      </c>
      <c r="J12" s="20" t="inlineStr"/>
      <c r="K12" s="21" t="inlineStr"/>
      <c r="L12" s="20" t="inlineStr"/>
      <c r="M12" s="21" t="inlineStr"/>
      <c r="N12" s="20" t="inlineStr"/>
    </row>
    <row r="13" ht="54" customHeight="1">
      <c r="A13" s="22" t="inlineStr">
        <is>
          <t>AD-02-10</t>
        </is>
      </c>
      <c r="B13" s="23" t="inlineStr">
        <is>
          <t>Tax code</t>
        </is>
      </c>
      <c r="C13" s="23" t="inlineStr">
        <is>
          <t>A shared 10-digit root is NOT blocked — it offers a link instead</t>
        </is>
      </c>
      <c r="D13" s="26" t="inlineStr">
        <is>
          <t>Edge</t>
        </is>
      </c>
      <c r="E13" s="19" t="inlineStr">
        <is>
          <t>High</t>
        </is>
      </c>
      <c r="F13" s="23" t="inlineStr">
        <is>
          <t>A company exists with MST 0301234599.</t>
        </is>
      </c>
      <c r="G13" s="23" t="inlineStr">
        <is>
          <t>1. Start a new company and type MST 0301234599-001.
2. Fill the rest of the form.
3. Read what appears under the tax code field.
4. Save without linking anything.</t>
        </is>
      </c>
      <c r="H13" s="23" t="inlineStr">
        <is>
          <t>MST: 0301234599-001</t>
        </is>
      </c>
      <c r="I13" s="23" t="inlineStr">
        <is>
          <t>The save is NOT blocked.
A list of companies on the same 10-digit root appears, each showing name, full MST, location and sales owner, badged 'cùng gốc MST'.
Linking is offered but optional — saving without linking creates a normal standalone company.</t>
        </is>
      </c>
      <c r="J13" s="20" t="inlineStr"/>
      <c r="K13" s="21" t="inlineStr"/>
      <c r="L13" s="20" t="inlineStr"/>
      <c r="M13" s="21" t="inlineStr"/>
      <c r="N13" s="20" t="inlineStr"/>
    </row>
    <row r="14" ht="40.5" customHeight="1">
      <c r="A14" s="17" t="inlineStr">
        <is>
          <t>AD-02-11</t>
        </is>
      </c>
      <c r="B14" s="6" t="inlineStr">
        <is>
          <t>Tax code</t>
        </is>
      </c>
      <c r="C14" s="6" t="inlineStr">
        <is>
          <t>A near-identical name on a different tax code also offers a link, and does not block</t>
        </is>
      </c>
      <c r="D14" s="26" t="inlineStr">
        <is>
          <t>Edge</t>
        </is>
      </c>
      <c r="E14" s="25" t="inlineStr">
        <is>
          <t>Medium</t>
        </is>
      </c>
      <c r="F14" s="6" t="inlineStr">
        <is>
          <t>A company 'CÔNG TY TNHH TEST QA' exists.</t>
        </is>
      </c>
      <c r="G14" s="6" t="inlineStr">
        <is>
          <t>1. Create 'CÔNG TY TNHH TEST QA MIỀN NAM' with a completely different MST.
2. Read what the form shows.
3. Save.</t>
        </is>
      </c>
      <c r="H14" s="6" t="inlineStr">
        <is>
          <t>A different MST, a similar name</t>
        </is>
      </c>
      <c r="I14" s="6" t="inlineStr">
        <is>
          <t>The similar company is listed as a possible affiliate.
The save is not blocked.</t>
        </is>
      </c>
      <c r="J14" s="20" t="inlineStr"/>
      <c r="K14" s="21" t="inlineStr"/>
      <c r="L14" s="20" t="inlineStr"/>
      <c r="M14" s="21" t="inlineStr"/>
      <c r="N14" s="20" t="inlineStr"/>
    </row>
    <row r="15" ht="40.5" customHeight="1">
      <c r="A15" s="22" t="inlineStr">
        <is>
          <t>AD-02-12</t>
        </is>
      </c>
      <c r="B15" s="23" t="inlineStr">
        <is>
          <t>Company links</t>
        </is>
      </c>
      <c r="C15" s="23" t="inlineStr">
        <is>
          <t>'Là con của' can only be set on one row; 'Là mẹ của' can be set on many</t>
        </is>
      </c>
      <c r="D15" s="26" t="inlineStr">
        <is>
          <t>Edge</t>
        </is>
      </c>
      <c r="E15" s="25" t="inlineStr">
        <is>
          <t>Medium</t>
        </is>
      </c>
      <c r="F15" s="23" t="inlineStr">
        <is>
          <t>The affiliate list is showing at least 3 companies.</t>
        </is>
      </c>
      <c r="G15" s="23" t="inlineStr">
        <is>
          <t>1. Click '↑ Là con của' on row 1, then on row 2.
2. Click '↓ Là mẹ của' on rows 1, 2 and 3.
3. Read the running summary line.</t>
        </is>
      </c>
      <c r="H15" s="23" t="inlineStr">
        <is>
          <t>-</t>
        </is>
      </c>
      <c r="I15" s="23" t="inlineStr">
        <is>
          <t>Choosing 'Là con của' on row 2 releases it from row 1 — only ONE parent is possible.
'Là mẹ của' stays selected on all three rows at once.
A summary line states the result in words, for example 'Sẽ liên kết: công ty con của X, công ty mẹ của Y, Z'.</t>
        </is>
      </c>
      <c r="J15" s="20" t="inlineStr"/>
      <c r="K15" s="21" t="inlineStr"/>
      <c r="L15" s="20" t="inlineStr"/>
      <c r="M15" s="21" t="inlineStr"/>
      <c r="N15" s="20" t="inlineStr"/>
    </row>
    <row r="16" ht="40.5" customHeight="1">
      <c r="A16" s="17" t="inlineStr">
        <is>
          <t>AD-02-13</t>
        </is>
      </c>
      <c r="B16" s="6" t="inlineStr">
        <is>
          <t>Company links</t>
        </is>
      </c>
      <c r="C16" s="6" t="inlineStr">
        <is>
          <t>A link that would make a company its own ancestor is refused</t>
        </is>
      </c>
      <c r="D16" s="24" t="inlineStr">
        <is>
          <t>Negative</t>
        </is>
      </c>
      <c r="E16" s="19" t="inlineStr">
        <is>
          <t>High</t>
        </is>
      </c>
      <c r="F16" s="6" t="inlineStr">
        <is>
          <t>Company A is already the parent of company B.</t>
        </is>
      </c>
      <c r="G16" s="6" t="inlineStr">
        <is>
          <t>1. Open company A.
2. Try to set its parent to company B.
3. Save.</t>
        </is>
      </c>
      <c r="H16" s="6" t="inlineStr">
        <is>
          <t>-</t>
        </is>
      </c>
      <c r="I16" s="6" t="inlineStr">
        <is>
          <t>The save is refused with an explanation.
A loop (A → B → A) is not allowed; a chain (A → B → C) is.</t>
        </is>
      </c>
      <c r="J16" s="20" t="inlineStr"/>
      <c r="K16" s="21" t="inlineStr"/>
      <c r="L16" s="20" t="inlineStr"/>
      <c r="M16" s="21" t="inlineStr"/>
      <c r="N16" s="20" t="inlineStr"/>
    </row>
    <row r="17" ht="28" customHeight="1">
      <c r="A17" s="22" t="inlineStr">
        <is>
          <t>AD-02-14</t>
        </is>
      </c>
      <c r="B17" s="23" t="inlineStr">
        <is>
          <t>Company links</t>
        </is>
      </c>
      <c r="C17" s="23" t="inlineStr">
        <is>
          <t>Nothing is shared across a parent / subsidiary link</t>
        </is>
      </c>
      <c r="D17" s="26" t="inlineStr">
        <is>
          <t>Edge</t>
        </is>
      </c>
      <c r="E17" s="19" t="inlineStr">
        <is>
          <t>High</t>
        </is>
      </c>
      <c r="F17" s="23" t="inlineStr">
        <is>
          <t>Company A (parent) has bought quota. Company B is its subsidiary and has bought nothing.</t>
        </is>
      </c>
      <c r="G17" s="23" t="inlineStr">
        <is>
          <t>1. Open company B → Products &amp; billing.
2. Sign in as a company user of B and try to post a job.</t>
        </is>
      </c>
      <c r="H17" s="23" t="inlineStr">
        <is>
          <t>-</t>
        </is>
      </c>
      <c r="I17" s="23" t="inlineStr">
        <is>
          <t>Company B has NO quota of its own and cannot spend company A's.
Each company keeps its own MST, quota, quotations, invoices, users and sales owner.</t>
        </is>
      </c>
      <c r="J17" s="20" t="inlineStr"/>
      <c r="K17" s="21" t="inlineStr"/>
      <c r="L17" s="20" t="inlineStr"/>
      <c r="M17" s="21" t="inlineStr"/>
      <c r="N17" s="20" t="inlineStr"/>
    </row>
    <row r="18" ht="81" customHeight="1">
      <c r="A18" s="17" t="inlineStr">
        <is>
          <t>AD-02-15</t>
        </is>
      </c>
      <c r="B18" s="6" t="inlineStr">
        <is>
          <t>Tax lookup</t>
        </is>
      </c>
      <c r="C18" s="6" t="inlineStr">
        <is>
          <t>The MST lookup fills fields in but never traps you</t>
        </is>
      </c>
      <c r="D18" s="18" t="inlineStr">
        <is>
          <t>Positive</t>
        </is>
      </c>
      <c r="E18" s="25" t="inlineStr">
        <is>
          <t>Medium</t>
        </is>
      </c>
      <c r="F18" s="6" t="inlineStr">
        <is>
          <t>You are on the New company page (this test needs the tax-registry lookup to be switched on).</t>
        </is>
      </c>
      <c r="G18" s="6" t="inlineStr">
        <is>
          <t>1. Type a real 10-digit MST.
2. Click 'Tra cứu'.
3. Look at legal name, address and business line.
4. Change the address by hand.
5. Click 'Tra cứu' again.
6. Save.</t>
        </is>
      </c>
      <c r="H18" s="6" t="inlineStr">
        <is>
          <t>A real Vietnamese MST</t>
        </is>
      </c>
      <c r="I18" s="6" t="inlineStr">
        <is>
          <t>The lookup fills the empty fields and every one of them stays editable.
Re-running the lookup does NOT overwrite the address you corrected.
If the lookup fails or is slow, you can still type everything by hand and save.
(If the lookup button is not built yet, mark Blocked and note it.)</t>
        </is>
      </c>
      <c r="J18" s="20" t="inlineStr"/>
      <c r="K18" s="21" t="inlineStr"/>
      <c r="L18" s="20" t="inlineStr"/>
      <c r="M18" s="21" t="inlineStr"/>
      <c r="N18" s="20" t="inlineStr"/>
    </row>
    <row r="19" ht="40.5" customHeight="1">
      <c r="A19" s="22" t="inlineStr">
        <is>
          <t>AD-02-16</t>
        </is>
      </c>
      <c r="B19" s="23" t="inlineStr">
        <is>
          <t>New company</t>
        </is>
      </c>
      <c r="C19" s="23" t="inlineStr">
        <is>
          <t>The province field only appears for Vietnamese companies</t>
        </is>
      </c>
      <c r="D19" s="18" t="inlineStr">
        <is>
          <t>Positive</t>
        </is>
      </c>
      <c r="E19" s="25" t="inlineStr">
        <is>
          <t>Medium</t>
        </is>
      </c>
      <c r="F19" s="23" t="inlineStr">
        <is>
          <t>You are on the New company page.</t>
        </is>
      </c>
      <c r="G19" s="23" t="inlineStr">
        <is>
          <t>1. Set Country = Việt Nam and look for the province field.
2. Change Country to another country and look again.
3. Check whether Address is still required.</t>
        </is>
      </c>
      <c r="H19" s="23" t="inlineStr">
        <is>
          <t>-</t>
        </is>
      </c>
      <c r="I19" s="23" t="inlineStr">
        <is>
          <t>Province is shown only when the country is Việt Nam.
Address is required for EVERY country, because it prints on the documents.</t>
        </is>
      </c>
      <c r="J19" s="20" t="inlineStr"/>
      <c r="K19" s="21" t="inlineStr"/>
      <c r="L19" s="20" t="inlineStr"/>
      <c r="M19" s="21" t="inlineStr"/>
      <c r="N19" s="20" t="inlineStr"/>
    </row>
    <row r="20" ht="40.5" customHeight="1">
      <c r="A20" s="17" t="inlineStr">
        <is>
          <t>AD-02-17</t>
        </is>
      </c>
      <c r="B20" s="6" t="inlineStr">
        <is>
          <t>Verification document</t>
        </is>
      </c>
      <c r="C20" s="6" t="inlineStr">
        <is>
          <t>The verification document is optional at creation</t>
        </is>
      </c>
      <c r="D20" s="18" t="inlineStr">
        <is>
          <t>Positive</t>
        </is>
      </c>
      <c r="E20" s="19" t="inlineStr">
        <is>
          <t>High</t>
        </is>
      </c>
      <c r="F20" s="6" t="inlineStr">
        <is>
          <t>You are on the New company page.</t>
        </is>
      </c>
      <c r="G20" s="6" t="inlineStr">
        <is>
          <t>1. Fill in the required fields and save WITHOUT uploading a document.
2. Open the company record and find the document card.</t>
        </is>
      </c>
      <c r="H20" s="6" t="inlineStr">
        <is>
          <t>-</t>
        </is>
      </c>
      <c r="I20" s="6" t="inlineStr">
        <is>
          <t>The company saves fine with no document.
The card shows there are no files and one warning that invoicing will be blocked later.
No per-file 'pending approval' badges — a document either exists or it does not.</t>
        </is>
      </c>
      <c r="J20" s="20" t="inlineStr"/>
      <c r="K20" s="21" t="inlineStr"/>
      <c r="L20" s="20" t="inlineStr"/>
      <c r="M20" s="21" t="inlineStr"/>
      <c r="N20" s="20" t="inlineStr"/>
    </row>
    <row r="21" ht="54" customHeight="1">
      <c r="A21" s="22" t="inlineStr">
        <is>
          <t>AD-02-18</t>
        </is>
      </c>
      <c r="B21" s="23" t="inlineStr">
        <is>
          <t>Verification document</t>
        </is>
      </c>
      <c r="C21" s="23" t="inlineStr">
        <is>
          <t>Several documents can be uploaded, within the type and size limits</t>
        </is>
      </c>
      <c r="D21" s="24" t="inlineStr">
        <is>
          <t>Negative</t>
        </is>
      </c>
      <c r="E21" s="25" t="inlineStr">
        <is>
          <t>Medium</t>
        </is>
      </c>
      <c r="F21" s="23" t="inlineStr">
        <is>
          <t>You are on a company record.</t>
        </is>
      </c>
      <c r="G21" s="23" t="inlineStr">
        <is>
          <t>1. Upload a PDF under 10MB.
2. Upload a JPG.
3. Try to upload a .docx.
4. Try to upload a file over 10MB.</t>
        </is>
      </c>
      <c r="H21" s="23" t="inlineStr">
        <is>
          <t>PDF, JPG, DOCX, and a &gt;10MB file</t>
        </is>
      </c>
      <c r="I21" s="23" t="inlineStr">
        <is>
          <t>The PDF and the JPG are accepted and BOTH stay on the record (the old one is not replaced).
The .docx and the oversized file are refused with a clear message.</t>
        </is>
      </c>
      <c r="J21" s="20" t="inlineStr"/>
      <c r="K21" s="21" t="inlineStr"/>
      <c r="L21" s="20" t="inlineStr"/>
      <c r="M21" s="21" t="inlineStr"/>
      <c r="N21" s="20" t="inlineStr"/>
    </row>
    <row r="22" ht="54" customHeight="1">
      <c r="A22" s="17" t="inlineStr">
        <is>
          <t>AD-02-19</t>
        </is>
      </c>
      <c r="B22" s="6" t="inlineStr">
        <is>
          <t>Company detail</t>
        </is>
      </c>
      <c r="C22" s="6" t="inlineStr">
        <is>
          <t>The Basic info card edits as ONE block</t>
        </is>
      </c>
      <c r="D22" s="18" t="inlineStr">
        <is>
          <t>Positive</t>
        </is>
      </c>
      <c r="E22" s="25" t="inlineStr">
        <is>
          <t>Medium</t>
        </is>
      </c>
      <c r="F22" s="6" t="inlineStr">
        <is>
          <t>You are on a company detail page.</t>
        </is>
      </c>
      <c r="G22" s="6" t="inlineStr">
        <is>
          <t>1. Click Edit on the Basic info card.
2. Change three different fields.
3. Click Cancel.
4. Click Edit again, change three fields, click Save.</t>
        </is>
      </c>
      <c r="H22" s="6" t="inlineStr">
        <is>
          <t>-</t>
        </is>
      </c>
      <c r="I22" s="6" t="inlineStr">
        <is>
          <t>Edit turns the whole card into inputs — there is not a pencil icon per row.
Cancel reverts ALL three changes at once.
Save writes all three at once.</t>
        </is>
      </c>
      <c r="J22" s="20" t="inlineStr"/>
      <c r="K22" s="21" t="inlineStr"/>
      <c r="L22" s="20" t="inlineStr"/>
      <c r="M22" s="21" t="inlineStr"/>
      <c r="N22" s="20" t="inlineStr"/>
    </row>
    <row r="23" ht="40.5" customHeight="1">
      <c r="A23" s="22" t="inlineStr">
        <is>
          <t>AD-02-20</t>
        </is>
      </c>
      <c r="B23" s="23" t="inlineStr">
        <is>
          <t>Company detail</t>
        </is>
      </c>
      <c r="C23" s="23" t="inlineStr">
        <is>
          <t>The create page and the Basic info card ask for the same fields</t>
        </is>
      </c>
      <c r="D23" s="18" t="inlineStr">
        <is>
          <t>Positive</t>
        </is>
      </c>
      <c r="E23" s="19" t="inlineStr">
        <is>
          <t>High</t>
        </is>
      </c>
      <c r="F23" s="23" t="inlineStr">
        <is>
          <t>You have both screens available.</t>
        </is>
      </c>
      <c r="G23" s="23" t="inlineStr">
        <is>
          <t>1. Write down every field on the New company page.
2. Write down every field on the Basic info card.
3. Compare the two lists.</t>
        </is>
      </c>
      <c r="H23" s="23" t="inlineStr">
        <is>
          <t>-</t>
        </is>
      </c>
      <c r="I23" s="23" t="inlineStr">
        <is>
          <t>The two lists match.
A field that can only be set at creation, or only afterwards, is a data hole — list any difference in Notes.</t>
        </is>
      </c>
      <c r="J23" s="20" t="inlineStr"/>
      <c r="K23" s="21" t="inlineStr"/>
      <c r="L23" s="20" t="inlineStr"/>
      <c r="M23" s="21" t="inlineStr"/>
      <c r="N23" s="20" t="inlineStr"/>
    </row>
    <row r="24" ht="28" customHeight="1">
      <c r="A24" s="17" t="inlineStr">
        <is>
          <t>AD-02-21</t>
        </is>
      </c>
      <c r="B24" s="6" t="inlineStr">
        <is>
          <t>Company detail</t>
        </is>
      </c>
      <c r="C24" s="6" t="inlineStr">
        <is>
          <t>No contact details are shown on the Basic info card</t>
        </is>
      </c>
      <c r="D24" s="18" t="inlineStr">
        <is>
          <t>Positive</t>
        </is>
      </c>
      <c r="E24" s="25" t="inlineStr">
        <is>
          <t>Medium</t>
        </is>
      </c>
      <c r="F24" s="6" t="inlineStr">
        <is>
          <t>You are on a company detail page.</t>
        </is>
      </c>
      <c r="G24" s="6" t="inlineStr">
        <is>
          <t>1. Read every row of the Basic info card.</t>
        </is>
      </c>
      <c r="H24" s="6" t="inlineStr">
        <is>
          <t>-</t>
        </is>
      </c>
      <c r="I24" s="6" t="inlineStr">
        <is>
          <t>There is NO contact name, email or phone on this card — those live on the Contacts tab only.
What the company bought is not here either; that lives on Products &amp; billing.</t>
        </is>
      </c>
      <c r="J24" s="20" t="inlineStr"/>
      <c r="K24" s="21" t="inlineStr"/>
      <c r="L24" s="20" t="inlineStr"/>
      <c r="M24" s="21" t="inlineStr"/>
      <c r="N24" s="20" t="inlineStr"/>
    </row>
    <row r="25" ht="28" customHeight="1">
      <c r="A25" s="22" t="inlineStr">
        <is>
          <t>AD-02-22</t>
        </is>
      </c>
      <c r="B25" s="23" t="inlineStr">
        <is>
          <t>Company detail</t>
        </is>
      </c>
      <c r="C25" s="23" t="inlineStr">
        <is>
          <t>The header offers 'Create quotation' and nothing else</t>
        </is>
      </c>
      <c r="D25" s="18" t="inlineStr">
        <is>
          <t>Positive</t>
        </is>
      </c>
      <c r="E25" s="19" t="inlineStr">
        <is>
          <t>High</t>
        </is>
      </c>
      <c r="F25" s="23" t="inlineStr">
        <is>
          <t>You are on a company detail page, on a company with customer status New.</t>
        </is>
      </c>
      <c r="G25" s="23" t="inlineStr">
        <is>
          <t>1. Look at the buttons in the company detail header.</t>
        </is>
      </c>
      <c r="H25" s="23" t="inlineStr">
        <is>
          <t>-</t>
        </is>
      </c>
      <c r="I25" s="23" t="inlineStr">
        <is>
          <t>There is exactly ONE create action: 'Tạo báo giá / Create quotation'.
There is NO 'Create PO' button and NO 'Convert to customer' button here.</t>
        </is>
      </c>
      <c r="J25" s="20" t="inlineStr"/>
      <c r="K25" s="21" t="inlineStr"/>
      <c r="L25" s="20" t="inlineStr"/>
      <c r="M25" s="21" t="inlineStr"/>
      <c r="N25" s="20" t="inlineStr"/>
    </row>
    <row r="26" ht="28" customHeight="1">
      <c r="A26" s="17" t="inlineStr">
        <is>
          <t>AD-02-23</t>
        </is>
      </c>
      <c r="B26" s="6" t="inlineStr">
        <is>
          <t>Company detail</t>
        </is>
      </c>
      <c r="C26" s="6" t="inlineStr">
        <is>
          <t>Create quotation is available whatever the company status is</t>
        </is>
      </c>
      <c r="D26" s="18" t="inlineStr">
        <is>
          <t>Positive</t>
        </is>
      </c>
      <c r="E26" s="25" t="inlineStr">
        <is>
          <t>Medium</t>
        </is>
      </c>
      <c r="F26" s="6" t="inlineStr">
        <is>
          <t>You have three companies: one New, one Existing, one Churn.</t>
        </is>
      </c>
      <c r="G26" s="6" t="inlineStr">
        <is>
          <t>1. Open each one and look at the header.</t>
        </is>
      </c>
      <c r="H26" s="6" t="inlineStr">
        <is>
          <t>-</t>
        </is>
      </c>
      <c r="I26" s="6" t="inlineStr">
        <is>
          <t>'Create quotation' is available on all three.
There is no company you are not allowed to quote.</t>
        </is>
      </c>
      <c r="J26" s="20" t="inlineStr"/>
      <c r="K26" s="21" t="inlineStr"/>
      <c r="L26" s="20" t="inlineStr"/>
      <c r="M26" s="21" t="inlineStr"/>
      <c r="N26" s="20" t="inlineStr"/>
    </row>
    <row r="27" ht="40.5" customHeight="1">
      <c r="A27" s="22" t="inlineStr">
        <is>
          <t>AD-02-24</t>
        </is>
      </c>
      <c r="B27" s="23" t="inlineStr">
        <is>
          <t>Audit</t>
        </is>
      </c>
      <c r="C27" s="23" t="inlineStr">
        <is>
          <t>Every change to a company is recorded</t>
        </is>
      </c>
      <c r="D27" s="18" t="inlineStr">
        <is>
          <t>Positive</t>
        </is>
      </c>
      <c r="E27" s="19" t="inlineStr">
        <is>
          <t>High</t>
        </is>
      </c>
      <c r="F27" s="23" t="inlineStr">
        <is>
          <t>You are on a company detail page.</t>
        </is>
      </c>
      <c r="G27" s="23" t="inlineStr">
        <is>
          <t>1. Change the sales owner and save.
2. Change the tax code and save.
3. Open the record's history / audit view.</t>
        </is>
      </c>
      <c r="H27" s="23" t="inlineStr">
        <is>
          <t>-</t>
        </is>
      </c>
      <c r="I27" s="23" t="inlineStr">
        <is>
          <t>Each change is listed with the field, the old value, the new value, who did it and when.</t>
        </is>
      </c>
      <c r="J27" s="20" t="inlineStr"/>
      <c r="K27" s="21" t="inlineStr"/>
      <c r="L27" s="20" t="inlineStr"/>
      <c r="M27" s="21" t="inlineStr"/>
      <c r="N27" s="20" t="inlineStr"/>
    </row>
    <row r="28" ht="54" customHeight="1">
      <c r="A28" s="17" t="inlineStr">
        <is>
          <t>AD-02-25</t>
        </is>
      </c>
      <c r="B28" s="6" t="inlineStr">
        <is>
          <t>Global search</t>
        </is>
      </c>
      <c r="C28" s="6" t="inlineStr">
        <is>
          <t>The top-bar search finds companies owned by other reps</t>
        </is>
      </c>
      <c r="D28" s="18" t="inlineStr">
        <is>
          <t>Positive</t>
        </is>
      </c>
      <c r="E28" s="19" t="inlineStr">
        <is>
          <t>High</t>
        </is>
      </c>
      <c r="F28" s="6" t="inlineStr">
        <is>
          <t>A company exists that is owned by a DIFFERENT sales rep from the one you are signed in as.</t>
        </is>
      </c>
      <c r="G28" s="6" t="inlineStr">
        <is>
          <t>1. From any Admin page, press ⌘K (or Ctrl-K).
2. Type part of that company's name.
3. Look at the result row.
4. Press Enter on it.</t>
        </is>
      </c>
      <c r="H28" s="6" t="inlineStr">
        <is>
          <t>-</t>
        </is>
      </c>
      <c r="I28" s="6" t="inlineStr">
        <is>
          <t>The box focuses from anywhere and the shortcut is printed inside it.
The other rep's company IS found — search is not limited to your own book.
The row shows name, customer status, pipeline status, company ID, MST and the sales owner.
Opening it takes you to CRM → Companies with that company open, and the breadcrumb reads Companies / {company}.</t>
        </is>
      </c>
      <c r="J28" s="20" t="inlineStr"/>
      <c r="K28" s="21" t="inlineStr"/>
      <c r="L28" s="20" t="inlineStr"/>
      <c r="M28" s="21" t="inlineStr"/>
      <c r="N28" s="20" t="inlineStr"/>
    </row>
    <row r="29" ht="40.5" customHeight="1">
      <c r="A29" s="22" t="inlineStr">
        <is>
          <t>AD-02-26</t>
        </is>
      </c>
      <c r="B29" s="23" t="inlineStr">
        <is>
          <t>Global search</t>
        </is>
      </c>
      <c r="C29" s="23" t="inlineStr">
        <is>
          <t>The search needs at least 2 characters and caps its results</t>
        </is>
      </c>
      <c r="D29" s="24" t="inlineStr">
        <is>
          <t>Negative</t>
        </is>
      </c>
      <c r="E29" s="25" t="inlineStr">
        <is>
          <t>Medium</t>
        </is>
      </c>
      <c r="F29" s="23" t="inlineStr">
        <is>
          <t>There are more than 7 companies whose names contain 'test'.</t>
        </is>
      </c>
      <c r="G29" s="23" t="inlineStr">
        <is>
          <t>1. Type one character.
2. Type 'test'.
3. Count the rows and read the line above / below them.</t>
        </is>
      </c>
      <c r="H29" s="23" t="inlineStr">
        <is>
          <t>-</t>
        </is>
      </c>
      <c r="I29" s="23" t="inlineStr">
        <is>
          <t>One character returns nothing — instead the box explains what it accepts.
'test' shows at most 7 rows plus the true total, for example '7/11 results', with a prompt to refine.
There is no 'see all' link — this box is for reaching a record, not for browsing.</t>
        </is>
      </c>
      <c r="J29" s="20" t="inlineStr"/>
      <c r="K29" s="21" t="inlineStr"/>
      <c r="L29" s="20" t="inlineStr"/>
      <c r="M29" s="21" t="inlineStr"/>
      <c r="N29" s="20" t="inlineStr"/>
    </row>
    <row r="30" ht="28" customHeight="1">
      <c r="A30" s="17" t="inlineStr">
        <is>
          <t>AD-02-27</t>
        </is>
      </c>
      <c r="B30" s="6" t="inlineStr">
        <is>
          <t>Global search</t>
        </is>
      </c>
      <c r="C30" s="6" t="inlineStr">
        <is>
          <t>No match says clearly that everyone's companies were checked</t>
        </is>
      </c>
      <c r="D30" s="24" t="inlineStr">
        <is>
          <t>Negative</t>
        </is>
      </c>
      <c r="E30" s="19" t="inlineStr">
        <is>
          <t>High</t>
        </is>
      </c>
      <c r="F30" s="6" t="inlineStr">
        <is>
          <t>You are in the Admin shell.</t>
        </is>
      </c>
      <c r="G30" s="6" t="inlineStr">
        <is>
          <t>1. Search for something that cannot exist, such as 'zzqqxx99'.
2. Read the message.</t>
        </is>
      </c>
      <c r="H30" s="6" t="inlineStr">
        <is>
          <t>-</t>
        </is>
      </c>
      <c r="I30" s="6" t="inlineStr">
        <is>
          <t>It says no company was found AND that every company was checked, including other reps'.
This is the line that stops a rep creating a duplicate.</t>
        </is>
      </c>
      <c r="J30" s="20" t="inlineStr"/>
      <c r="K30" s="21" t="inlineStr"/>
      <c r="L30" s="20" t="inlineStr"/>
      <c r="M30" s="21" t="inlineStr"/>
      <c r="N30" s="20" t="inlineStr"/>
    </row>
    <row r="31" ht="40.5" customHeight="1">
      <c r="A31" s="22" t="inlineStr">
        <is>
          <t>AD-02-28</t>
        </is>
      </c>
      <c r="B31" s="23" t="inlineStr">
        <is>
          <t>Company detail</t>
        </is>
      </c>
      <c r="C31" s="23" t="inlineStr">
        <is>
          <t>A company owned by another rep opens read-only</t>
        </is>
      </c>
      <c r="D31" s="24" t="inlineStr">
        <is>
          <t>Negative</t>
        </is>
      </c>
      <c r="E31" s="19" t="inlineStr">
        <is>
          <t>High</t>
        </is>
      </c>
      <c r="F31" s="23" t="inlineStr">
        <is>
          <t>A company is owned by a different sales rep.</t>
        </is>
      </c>
      <c r="G31" s="23" t="inlineStr">
        <is>
          <t>1. Open it through the global search.
2. Try to edit the Basic info card.
3. Try to change the pipeline stage badge.</t>
        </is>
      </c>
      <c r="H31" s="23" t="inlineStr">
        <is>
          <t>-</t>
        </is>
      </c>
      <c r="I31" s="23" t="inlineStr">
        <is>
          <t>The record opens (reaching it is a read, not a takeover).
Editing is not possible and the reason is shown.
Ownership does not change just because you opened it.</t>
        </is>
      </c>
      <c r="J31" s="20" t="inlineStr"/>
      <c r="K31" s="21" t="inlineStr"/>
      <c r="L31" s="20" t="inlineStr"/>
      <c r="M31" s="21" t="inlineStr"/>
      <c r="N31" s="20" t="inlineStr"/>
    </row>
  </sheetData>
  <autoFilter ref="A3:N31"/>
  <mergeCells count="2">
    <mergeCell ref="A2:N2"/>
    <mergeCell ref="A1:N1"/>
  </mergeCells>
  <dataValidations count="1">
    <dataValidation sqref="K4:K31"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N3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AD-03 · Quotation (Báo giá) — build, discount, send, revise, expire</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28" customHeight="1">
      <c r="A4" s="17" t="inlineStr">
        <is>
          <t>AD-03-01</t>
        </is>
      </c>
      <c r="B4" s="6" t="inlineStr">
        <is>
          <t>Create quotation</t>
        </is>
      </c>
      <c r="C4" s="6" t="inlineStr">
        <is>
          <t>Opening 'Create quotation' from a company pre-selects that company</t>
        </is>
      </c>
      <c r="D4" s="18" t="inlineStr">
        <is>
          <t>Positive</t>
        </is>
      </c>
      <c r="E4" s="19" t="inlineStr">
        <is>
          <t>High</t>
        </is>
      </c>
      <c r="F4" s="6" t="inlineStr">
        <is>
          <t>You are on a company detail page.</t>
        </is>
      </c>
      <c r="G4" s="6" t="inlineStr">
        <is>
          <t>1. Click 'Tạo báo giá / Create quotation'.
2. Look at the company field.</t>
        </is>
      </c>
      <c r="H4" s="6" t="inlineStr">
        <is>
          <t>-</t>
        </is>
      </c>
      <c r="I4" s="6" t="inlineStr">
        <is>
          <t>The company is already chosen and the quotation is attached to that company and its deal.
A quotation is never left floating with no company.</t>
        </is>
      </c>
      <c r="J4" s="20" t="inlineStr"/>
      <c r="K4" s="21" t="inlineStr"/>
      <c r="L4" s="20" t="inlineStr"/>
      <c r="M4" s="21" t="inlineStr"/>
      <c r="N4" s="20" t="inlineStr"/>
    </row>
    <row r="5" ht="28" customHeight="1">
      <c r="A5" s="22" t="inlineStr">
        <is>
          <t>AD-03-02</t>
        </is>
      </c>
      <c r="B5" s="23" t="inlineStr">
        <is>
          <t>Create quotation</t>
        </is>
      </c>
      <c r="C5" s="23" t="inlineStr">
        <is>
          <t>Opening it from the Quotations list asks which company</t>
        </is>
      </c>
      <c r="D5" s="18" t="inlineStr">
        <is>
          <t>Positive</t>
        </is>
      </c>
      <c r="E5" s="25" t="inlineStr">
        <is>
          <t>Medium</t>
        </is>
      </c>
      <c r="F5" s="23" t="inlineStr">
        <is>
          <t>You are on CRM → Quotations.</t>
        </is>
      </c>
      <c r="G5" s="23" t="inlineStr">
        <is>
          <t>1. Click Create quotation from the list title row.</t>
        </is>
      </c>
      <c r="H5" s="23" t="inlineStr">
        <is>
          <t>-</t>
        </is>
      </c>
      <c r="I5" s="23" t="inlineStr">
        <is>
          <t>You are asked to choose a company before you can continue.</t>
        </is>
      </c>
      <c r="J5" s="20" t="inlineStr"/>
      <c r="K5" s="21" t="inlineStr"/>
      <c r="L5" s="20" t="inlineStr"/>
      <c r="M5" s="21" t="inlineStr"/>
      <c r="N5" s="20" t="inlineStr"/>
    </row>
    <row r="6" ht="40.5" customHeight="1">
      <c r="A6" s="17" t="inlineStr">
        <is>
          <t>AD-03-03</t>
        </is>
      </c>
      <c r="B6" s="6" t="inlineStr">
        <is>
          <t>Quotation header</t>
        </is>
      </c>
      <c r="C6" s="6" t="inlineStr">
        <is>
          <t>The quotation number is generated and cannot be edited</t>
        </is>
      </c>
      <c r="D6" s="18" t="inlineStr">
        <is>
          <t>Positive</t>
        </is>
      </c>
      <c r="E6" s="19" t="inlineStr">
        <is>
          <t>High</t>
        </is>
      </c>
      <c r="F6" s="6" t="inlineStr">
        <is>
          <t>You are creating a quotation in July 2026.</t>
        </is>
      </c>
      <c r="G6" s="6" t="inlineStr">
        <is>
          <t>1. Look at the quotation code.
2. Try to click into it and change it.</t>
        </is>
      </c>
      <c r="H6" s="6" t="inlineStr">
        <is>
          <t>-</t>
        </is>
      </c>
      <c r="I6" s="6" t="inlineStr">
        <is>
          <t>It reads QUO-{6 digits}-{MM}-{YYYY}, for example QUO-009909-07-2026.
It cannot be edited.
The next quotation you create has the next number in sequence.</t>
        </is>
      </c>
      <c r="J6" s="20" t="inlineStr"/>
      <c r="K6" s="21" t="inlineStr"/>
      <c r="L6" s="20" t="inlineStr"/>
      <c r="M6" s="21" t="inlineStr"/>
      <c r="N6" s="20" t="inlineStr"/>
    </row>
    <row r="7" ht="40.5" customHeight="1">
      <c r="A7" s="22" t="inlineStr">
        <is>
          <t>AD-03-04</t>
        </is>
      </c>
      <c r="B7" s="23" t="inlineStr">
        <is>
          <t>Quotation header</t>
        </is>
      </c>
      <c r="C7" s="23" t="inlineStr">
        <is>
          <t>The expiry date is always the last day of the month</t>
        </is>
      </c>
      <c r="D7" s="18" t="inlineStr">
        <is>
          <t>Positive</t>
        </is>
      </c>
      <c r="E7" s="19" t="inlineStr">
        <is>
          <t>High</t>
        </is>
      </c>
      <c r="F7" s="23" t="inlineStr">
        <is>
          <t>You can create quotations on different dates (ask a developer to change the server date if needed).</t>
        </is>
      </c>
      <c r="G7" s="23" t="inlineStr">
        <is>
          <t>1. Create a quotation on the 5th of the month and note the expiry date.
2. Create one on the 28th of the same month and note the expiry date.
3. Try to type a different expiry date.</t>
        </is>
      </c>
      <c r="H7" s="23" t="inlineStr">
        <is>
          <t>-</t>
        </is>
      </c>
      <c r="I7" s="23" t="inlineStr">
        <is>
          <t>BOTH show the last day of that month, for example 31/07/2026 — not 14 or 30 days after sending.
The date cannot be typed by hand.</t>
        </is>
      </c>
      <c r="J7" s="20" t="inlineStr"/>
      <c r="K7" s="21" t="inlineStr"/>
      <c r="L7" s="20" t="inlineStr"/>
      <c r="M7" s="21" t="inlineStr"/>
      <c r="N7" s="20" t="inlineStr"/>
    </row>
    <row r="8" ht="67.5" customHeight="1">
      <c r="A8" s="17" t="inlineStr">
        <is>
          <t>AD-03-05</t>
        </is>
      </c>
      <c r="B8" s="6" t="inlineStr">
        <is>
          <t>Quotation header</t>
        </is>
      </c>
      <c r="C8" s="6" t="inlineStr">
        <is>
          <t>The letterhead comes from settings, never typed per quotation</t>
        </is>
      </c>
      <c r="D8" s="18" t="inlineStr">
        <is>
          <t>Positive</t>
        </is>
      </c>
      <c r="E8" s="19" t="inlineStr">
        <is>
          <t>High</t>
        </is>
      </c>
      <c r="F8" s="6" t="inlineStr">
        <is>
          <t>You can open System → Company information.</t>
        </is>
      </c>
      <c r="G8" s="6" t="inlineStr">
        <is>
          <t>1. Create a quotation and look at the issuer block (logo, VN + EN legal name, VN + EN address, website).
2. Try to edit any of it on the quotation.
3. Ask an admin to change the website in System → Company information.
4. Create a NEW quotation and check the website.
5. Re-open an OLD sent quotation and check its website.</t>
        </is>
      </c>
      <c r="H8" s="6" t="inlineStr">
        <is>
          <t>-</t>
        </is>
      </c>
      <c r="I8" s="6" t="inlineStr">
        <is>
          <t>The issuer block cannot be typed on the quotation — it comes from settings.
A new quotation picks up the changed value.
An already-sent quotation still prints the OLD value — old documents must reprint identically.</t>
        </is>
      </c>
      <c r="J8" s="20" t="inlineStr"/>
      <c r="K8" s="21" t="inlineStr"/>
      <c r="L8" s="20" t="inlineStr"/>
      <c r="M8" s="21" t="inlineStr"/>
      <c r="N8" s="20" t="inlineStr"/>
    </row>
    <row r="9" ht="28" customHeight="1">
      <c r="A9" s="22" t="inlineStr">
        <is>
          <t>AD-03-06</t>
        </is>
      </c>
      <c r="B9" s="23" t="inlineStr">
        <is>
          <t>Quotation header</t>
        </is>
      </c>
      <c r="C9" s="23" t="inlineStr">
        <is>
          <t>'Proposed by' is the signed-in rep</t>
        </is>
      </c>
      <c r="D9" s="18" t="inlineStr">
        <is>
          <t>Positive</t>
        </is>
      </c>
      <c r="E9" s="25" t="inlineStr">
        <is>
          <t>Medium</t>
        </is>
      </c>
      <c r="F9" s="23" t="inlineStr">
        <is>
          <t>You are signed in as a known sales user.</t>
        </is>
      </c>
      <c r="G9" s="23" t="inlineStr">
        <is>
          <t>1. Create a quotation and read the 'Báo giá bởi / Proposed by' line.</t>
        </is>
      </c>
      <c r="H9" s="23" t="inlineStr">
        <is>
          <t>-</t>
        </is>
      </c>
      <c r="I9" s="23" t="inlineStr">
        <is>
          <t>It shows your own name and email — it is not a field you pick.</t>
        </is>
      </c>
      <c r="J9" s="20" t="inlineStr"/>
      <c r="K9" s="21" t="inlineStr"/>
      <c r="L9" s="20" t="inlineStr"/>
      <c r="M9" s="21" t="inlineStr"/>
      <c r="N9" s="20" t="inlineStr"/>
    </row>
    <row r="10" ht="40.5" customHeight="1">
      <c r="A10" s="17" t="inlineStr">
        <is>
          <t>AD-03-07</t>
        </is>
      </c>
      <c r="B10" s="6" t="inlineStr">
        <is>
          <t>Client &amp; billing</t>
        </is>
      </c>
      <c r="C10" s="6" t="inlineStr">
        <is>
          <t>Client and billing details are pre-filled from the company record</t>
        </is>
      </c>
      <c r="D10" s="18" t="inlineStr">
        <is>
          <t>Positive</t>
        </is>
      </c>
      <c r="E10" s="19" t="inlineStr">
        <is>
          <t>High</t>
        </is>
      </c>
      <c r="F10" s="6" t="inlineStr">
        <is>
          <t>The company has a primary contact and billing details.</t>
        </is>
      </c>
      <c r="G10" s="6" t="inlineStr">
        <is>
          <t>1. Create a quotation for it.
2. Look at the Client information block and the VAT billing block.</t>
        </is>
      </c>
      <c r="H10" s="6" t="inlineStr">
        <is>
          <t>-</t>
        </is>
      </c>
      <c r="I10" s="6" t="inlineStr">
        <is>
          <t>Client name, email and phone are pre-filled from the primary contact.
Billing company name, registered address and tax code are pre-filled from the company record.
You only edit what is different.</t>
        </is>
      </c>
      <c r="J10" s="20" t="inlineStr"/>
      <c r="K10" s="21" t="inlineStr"/>
      <c r="L10" s="20" t="inlineStr"/>
      <c r="M10" s="21" t="inlineStr"/>
      <c r="N10" s="20" t="inlineStr"/>
    </row>
    <row r="11" ht="54" customHeight="1">
      <c r="A11" s="22" t="inlineStr">
        <is>
          <t>AD-03-08</t>
        </is>
      </c>
      <c r="B11" s="23" t="inlineStr">
        <is>
          <t>Client &amp; billing</t>
        </is>
      </c>
      <c r="C11" s="23" t="inlineStr">
        <is>
          <t>The 'same as company' toggle copies across and writes back</t>
        </is>
      </c>
      <c r="D11" s="18" t="inlineStr">
        <is>
          <t>Positive</t>
        </is>
      </c>
      <c r="E11" s="25" t="inlineStr">
        <is>
          <t>Medium</t>
        </is>
      </c>
      <c r="F11" s="23" t="inlineStr">
        <is>
          <t>You are on the billing block of a new quotation.</t>
        </is>
      </c>
      <c r="G11" s="23" t="inlineStr">
        <is>
          <t>1. Turn on 'same as company'.
2. Change the billing address on the quotation.
3. Save the quotation.
4. Open the company record and look at the address.</t>
        </is>
      </c>
      <c r="H11" s="23" t="inlineStr">
        <is>
          <t>-</t>
        </is>
      </c>
      <c r="I11" s="23" t="inlineStr">
        <is>
          <t>The details copy across in one click.
The edit you made writes back to the company record — you do not have to update it in two places.</t>
        </is>
      </c>
      <c r="J11" s="20" t="inlineStr"/>
      <c r="K11" s="21" t="inlineStr"/>
      <c r="L11" s="20" t="inlineStr"/>
      <c r="M11" s="21" t="inlineStr"/>
      <c r="N11" s="20" t="inlineStr"/>
    </row>
    <row r="12" ht="54" customHeight="1">
      <c r="A12" s="17" t="inlineStr">
        <is>
          <t>AD-03-09</t>
        </is>
      </c>
      <c r="B12" s="6" t="inlineStr">
        <is>
          <t>Options</t>
        </is>
      </c>
      <c r="C12" s="6" t="inlineStr">
        <is>
          <t>A quotation can hold 1 to 3 options and no more</t>
        </is>
      </c>
      <c r="D12" s="24" t="inlineStr">
        <is>
          <t>Negative</t>
        </is>
      </c>
      <c r="E12" s="19" t="inlineStr">
        <is>
          <t>High</t>
        </is>
      </c>
      <c r="F12" s="6" t="inlineStr">
        <is>
          <t>You are building a quotation.</t>
        </is>
      </c>
      <c r="G12" s="6" t="inlineStr">
        <is>
          <t>1. Add option 1 with a product line.
2. Add option 2.
3. Add option 3.
4. Try to add option 4.</t>
        </is>
      </c>
      <c r="H12" s="6" t="inlineStr">
        <is>
          <t>-</t>
        </is>
      </c>
      <c r="I12" s="6" t="inlineStr">
        <is>
          <t>Three options can be created.
The 4th is refused.</t>
        </is>
      </c>
      <c r="J12" s="20" t="inlineStr"/>
      <c r="K12" s="21" t="inlineStr"/>
      <c r="L12" s="20" t="inlineStr"/>
      <c r="M12" s="21" t="inlineStr"/>
      <c r="N12" s="20" t="inlineStr"/>
    </row>
    <row r="13" ht="40.5" customHeight="1">
      <c r="A13" s="22" t="inlineStr">
        <is>
          <t>AD-03-10</t>
        </is>
      </c>
      <c r="B13" s="23" t="inlineStr">
        <is>
          <t>Options</t>
        </is>
      </c>
      <c r="C13" s="23" t="inlineStr">
        <is>
          <t>Each option totals on its own, and there is no grand total</t>
        </is>
      </c>
      <c r="D13" s="18" t="inlineStr">
        <is>
          <t>Positive</t>
        </is>
      </c>
      <c r="E13" s="19" t="inlineStr">
        <is>
          <t>High</t>
        </is>
      </c>
      <c r="F13" s="23" t="inlineStr">
        <is>
          <t>You have a quotation with 2 options at different prices.</t>
        </is>
      </c>
      <c r="G13" s="23" t="inlineStr">
        <is>
          <t>1. Look at option 1: subtotal, VAT and total after VAT.
2. Look at option 2: the same three numbers.
3. Look for any number adding the two options together, on screen and on the PDF.</t>
        </is>
      </c>
      <c r="H13" s="23" t="inlineStr">
        <is>
          <t>Option 1: 6,588,000
Option 2: 2,926,800</t>
        </is>
      </c>
      <c r="I13" s="23" t="inlineStr">
        <is>
          <t>Each option carries its own subtotal, VAT and total after VAT.
There is NO grand total anywhere — options are alternatives, not things you add up.
If you find 9,514,800 printed anywhere, mark Fail.</t>
        </is>
      </c>
      <c r="J13" s="20" t="inlineStr"/>
      <c r="K13" s="21" t="inlineStr"/>
      <c r="L13" s="20" t="inlineStr"/>
      <c r="M13" s="21" t="inlineStr"/>
      <c r="N13" s="20" t="inlineStr"/>
    </row>
    <row r="14" ht="40.5" customHeight="1">
      <c r="A14" s="17" t="inlineStr">
        <is>
          <t>AD-03-11</t>
        </is>
      </c>
      <c r="B14" s="6" t="inlineStr">
        <is>
          <t>Options</t>
        </is>
      </c>
      <c r="C14" s="6" t="inlineStr">
        <is>
          <t>Adding a product pulls its name, unit, price and benefits from the catalogue</t>
        </is>
      </c>
      <c r="D14" s="18" t="inlineStr">
        <is>
          <t>Positive</t>
        </is>
      </c>
      <c r="E14" s="19" t="inlineStr">
        <is>
          <t>High</t>
        </is>
      </c>
      <c r="F14" s="6" t="inlineStr">
        <is>
          <t>An Active product with a benefit list exists.</t>
        </is>
      </c>
      <c r="G14" s="6" t="inlineStr">
        <is>
          <t>1. Add that product as a line in an option.
2. Look at the line: name, unit, unit price.
3. Look at the 'Quyền lợi gói' benefit section of the option.</t>
        </is>
      </c>
      <c r="H14" s="6" t="inlineStr">
        <is>
          <t>-</t>
        </is>
      </c>
      <c r="I14" s="6" t="inlineStr">
        <is>
          <t>The VI and EN names, the unit and the list price all come from the product.
The benefit list is composed from the catalogue — nobody types it.</t>
        </is>
      </c>
      <c r="J14" s="20" t="inlineStr"/>
      <c r="K14" s="21" t="inlineStr"/>
      <c r="L14" s="20" t="inlineStr"/>
      <c r="M14" s="21" t="inlineStr"/>
      <c r="N14" s="20" t="inlineStr"/>
    </row>
    <row r="15" ht="40.5" customHeight="1">
      <c r="A15" s="22" t="inlineStr">
        <is>
          <t>AD-03-12</t>
        </is>
      </c>
      <c r="B15" s="23" t="inlineStr">
        <is>
          <t>Options</t>
        </is>
      </c>
      <c r="C15" s="23" t="inlineStr">
        <is>
          <t>The line total is calculated, not typed</t>
        </is>
      </c>
      <c r="D15" s="18" t="inlineStr">
        <is>
          <t>Positive</t>
        </is>
      </c>
      <c r="E15" s="19" t="inlineStr">
        <is>
          <t>High</t>
        </is>
      </c>
      <c r="F15" s="23" t="inlineStr">
        <is>
          <t>You have a line in an option.</t>
        </is>
      </c>
      <c r="G15" s="23" t="inlineStr">
        <is>
          <t>1. Set quantity 3 and unit price 2,000,000.
2. Set a discount of 25%.
3. Read the line total.</t>
        </is>
      </c>
      <c r="H15" s="23" t="inlineStr">
        <is>
          <t>3 × 2,000,000, 25% off</t>
        </is>
      </c>
      <c r="I15" s="23" t="inlineStr">
        <is>
          <t>The line total reads 4,500,000 (3 × 2,000,000 × 0.75).
It is read-only — you cannot type over it.</t>
        </is>
      </c>
      <c r="J15" s="20" t="inlineStr"/>
      <c r="K15" s="21" t="inlineStr"/>
      <c r="L15" s="20" t="inlineStr"/>
      <c r="M15" s="21" t="inlineStr"/>
      <c r="N15" s="20" t="inlineStr"/>
    </row>
    <row r="16" ht="54" customHeight="1">
      <c r="A16" s="17" t="inlineStr">
        <is>
          <t>AD-03-13</t>
        </is>
      </c>
      <c r="B16" s="6" t="inlineStr">
        <is>
          <t>Options</t>
        </is>
      </c>
      <c r="C16" s="6" t="inlineStr">
        <is>
          <t>VAT and the amount in words are generated automatically in both languages</t>
        </is>
      </c>
      <c r="D16" s="18" t="inlineStr">
        <is>
          <t>Positive</t>
        </is>
      </c>
      <c r="E16" s="19" t="inlineStr">
        <is>
          <t>High</t>
        </is>
      </c>
      <c r="F16" s="6" t="inlineStr">
        <is>
          <t>You have an option whose subtotal is 6,100,000 ₫ with VAT at 8%.</t>
        </is>
      </c>
      <c r="G16" s="6" t="inlineStr">
        <is>
          <t>1. Read the VAT amount.
2. Read the total after VAT.
3. Read the amount in words in Vietnamese and in English.
4. Try to edit the words.</t>
        </is>
      </c>
      <c r="H16" s="6" t="inlineStr">
        <is>
          <t>Subtotal: 6,100,000</t>
        </is>
      </c>
      <c r="I16" s="6" t="inlineStr">
        <is>
          <t>VAT = 488,000 and total after VAT = 6,588,000.
The words read 'Bằng chữ: Sáu triệu năm trăm tám mươi tám nghìn đồng.' and 'In words: Six million five hundred eighty-eight thousand VND.'
The words cannot be typed by hand.</t>
        </is>
      </c>
      <c r="J16" s="20" t="inlineStr"/>
      <c r="K16" s="21" t="inlineStr"/>
      <c r="L16" s="20" t="inlineStr"/>
      <c r="M16" s="21" t="inlineStr"/>
      <c r="N16" s="20" t="inlineStr"/>
    </row>
    <row r="17" ht="28" customHeight="1">
      <c r="A17" s="22" t="inlineStr">
        <is>
          <t>AD-03-14</t>
        </is>
      </c>
      <c r="B17" s="23" t="inlineStr">
        <is>
          <t>Gift lines</t>
        </is>
      </c>
      <c r="C17" s="23" t="inlineStr">
        <is>
          <t>A gift line is forced to 0 ₫</t>
        </is>
      </c>
      <c r="D17" s="18" t="inlineStr">
        <is>
          <t>Positive</t>
        </is>
      </c>
      <c r="E17" s="19" t="inlineStr">
        <is>
          <t>High</t>
        </is>
      </c>
      <c r="F17" s="23" t="inlineStr">
        <is>
          <t>You have an option with a paid line.</t>
        </is>
      </c>
      <c r="G17" s="23" t="inlineStr">
        <is>
          <t>1. Use 'Duplicate as gift' (or tick isGift) to add a '(Tặng)' line.
2. Try to give the gift line a price and a discount.</t>
        </is>
      </c>
      <c r="H17" s="23" t="inlineStr">
        <is>
          <t>-</t>
        </is>
      </c>
      <c r="I17" s="23" t="inlineStr">
        <is>
          <t>The gift line's unit price and line total are 0 ₫ and cannot be changed.
Its discount stays 0%.</t>
        </is>
      </c>
      <c r="J17" s="20" t="inlineStr"/>
      <c r="K17" s="21" t="inlineStr"/>
      <c r="L17" s="20" t="inlineStr"/>
      <c r="M17" s="21" t="inlineStr"/>
      <c r="N17" s="20" t="inlineStr"/>
    </row>
    <row r="18" ht="28" customHeight="1">
      <c r="A18" s="17" t="inlineStr">
        <is>
          <t>AD-03-15</t>
        </is>
      </c>
      <c r="B18" s="6" t="inlineStr">
        <is>
          <t>Options</t>
        </is>
      </c>
      <c r="C18" s="6" t="inlineStr">
        <is>
          <t>An option made only of gift lines is refused</t>
        </is>
      </c>
      <c r="D18" s="24" t="inlineStr">
        <is>
          <t>Negative</t>
        </is>
      </c>
      <c r="E18" s="19" t="inlineStr">
        <is>
          <t>High</t>
        </is>
      </c>
      <c r="F18" s="6" t="inlineStr">
        <is>
          <t>You are building an option.</t>
        </is>
      </c>
      <c r="G18" s="6" t="inlineStr">
        <is>
          <t>1. Add only gift (0 ₫) lines to the option.
2. Try to send the quotation.</t>
        </is>
      </c>
      <c r="H18" s="6" t="inlineStr">
        <is>
          <t>-</t>
        </is>
      </c>
      <c r="I18" s="6" t="inlineStr">
        <is>
          <t>It is refused — every option must contain at least one paid line.</t>
        </is>
      </c>
      <c r="J18" s="20" t="inlineStr"/>
      <c r="K18" s="21" t="inlineStr"/>
      <c r="L18" s="20" t="inlineStr"/>
      <c r="M18" s="21" t="inlineStr"/>
      <c r="N18" s="20" t="inlineStr"/>
    </row>
    <row r="19" ht="54" customHeight="1">
      <c r="A19" s="22" t="inlineStr">
        <is>
          <t>AD-03-16</t>
        </is>
      </c>
      <c r="B19" s="23" t="inlineStr">
        <is>
          <t>Discount programme</t>
        </is>
      </c>
      <c r="C19" s="23" t="inlineStr">
        <is>
          <t>For an EXISTING customer, the quantity discount applies itself</t>
        </is>
      </c>
      <c r="D19" s="18" t="inlineStr">
        <is>
          <t>Positive</t>
        </is>
      </c>
      <c r="E19" s="19" t="inlineStr">
        <is>
          <t>High</t>
        </is>
      </c>
      <c r="F19" s="23" t="inlineStr">
        <is>
          <t>The company's customer status is Existing.</t>
        </is>
      </c>
      <c r="G19" s="23" t="inlineStr">
        <is>
          <t>1. Create a quotation for it.
2. Add a product with quantity 2. Read the discount cell.
3. Change the quantity to 7. Read the discount.
4. Split the same product over two lines: 3 and 4. Read the discount on both.</t>
        </is>
      </c>
      <c r="H19" s="23" t="inlineStr">
        <is>
          <t>Qty 2 → 25%
Qty 7 → 30%
Qty 3 + 4 → 30%</t>
        </is>
      </c>
      <c r="I19" s="23" t="inlineStr">
        <is>
          <t>The discount is filled in for you, before you touch anything.
2 or more = 25%, 5+ = 30%, 10+ = 35%, 20+ = 40%, 30+ = 45%, 50+ = 50%, 100+ = 60%.
Quantities of the same product ADD UP across lines, so 3 + 4 gives 30% on both lines.
The discount cells are read-only while the programme is applied.</t>
        </is>
      </c>
      <c r="J19" s="20" t="inlineStr"/>
      <c r="K19" s="21" t="inlineStr"/>
      <c r="L19" s="20" t="inlineStr"/>
      <c r="M19" s="21" t="inlineStr"/>
      <c r="N19" s="20" t="inlineStr"/>
    </row>
    <row r="20" ht="54" customHeight="1">
      <c r="A20" s="17" t="inlineStr">
        <is>
          <t>AD-03-17</t>
        </is>
      </c>
      <c r="B20" s="6" t="inlineStr">
        <is>
          <t>Discount programme</t>
        </is>
      </c>
      <c r="C20" s="6" t="inlineStr">
        <is>
          <t>For a NEW or CHURN customer, 50% applies while every paid line is 5 or fewer</t>
        </is>
      </c>
      <c r="D20" s="18" t="inlineStr">
        <is>
          <t>Positive</t>
        </is>
      </c>
      <c r="E20" s="19" t="inlineStr">
        <is>
          <t>High</t>
        </is>
      </c>
      <c r="F20" s="6" t="inlineStr">
        <is>
          <t>The company's customer status is New (never bought).</t>
        </is>
      </c>
      <c r="G20" s="6" t="inlineStr">
        <is>
          <t>1. Create a quotation and add two products, each with quantity 5.
2. Read the discount on both lines.
3. Change one line to quantity 6.
4. Read the discount on BOTH lines and read the message.</t>
        </is>
      </c>
      <c r="H20" s="6" t="inlineStr">
        <is>
          <t>Two lines at qty 5, then one at 6</t>
        </is>
      </c>
      <c r="I20" s="6" t="inlineStr">
        <is>
          <t>At 5 and 5 both lines carry 50%.
As soon as ONE line is 6, the whole 50% is removed — including from the line that was still within the cap.
The message names the option and the exact line that broke the cap, and restates the two ways out: reduce the quantity, or split into two documents.</t>
        </is>
      </c>
      <c r="J20" s="20" t="inlineStr"/>
      <c r="K20" s="21" t="inlineStr"/>
      <c r="L20" s="20" t="inlineStr"/>
      <c r="M20" s="21" t="inlineStr"/>
      <c r="N20" s="20" t="inlineStr"/>
    </row>
    <row r="21" ht="28" customHeight="1">
      <c r="A21" s="22" t="inlineStr">
        <is>
          <t>AD-03-18</t>
        </is>
      </c>
      <c r="B21" s="23" t="inlineStr">
        <is>
          <t>Discount programme</t>
        </is>
      </c>
      <c r="C21" s="23" t="inlineStr">
        <is>
          <t>A gift line never destroys the 50% and never pushes a tier up</t>
        </is>
      </c>
      <c r="D21" s="26" t="inlineStr">
        <is>
          <t>Edge</t>
        </is>
      </c>
      <c r="E21" s="19" t="inlineStr">
        <is>
          <t>High</t>
        </is>
      </c>
      <c r="F21" s="23" t="inlineStr">
        <is>
          <t>You have a New-customer quotation at 50% with lines of quantity 5.</t>
        </is>
      </c>
      <c r="G21" s="23" t="inlineStr">
        <is>
          <t>1. Add a gift line with quantity 10 to the same option.
2. Read the discount on the paid lines.</t>
        </is>
      </c>
      <c r="H21" s="23" t="inlineStr">
        <is>
          <t>-</t>
        </is>
      </c>
      <c r="I21" s="23" t="inlineStr">
        <is>
          <t>The 50% is still there.
The gift quantity is not counted toward the ≤5 cap and is not added into the per-product total.</t>
        </is>
      </c>
      <c r="J21" s="20" t="inlineStr"/>
      <c r="K21" s="21" t="inlineStr"/>
      <c r="L21" s="20" t="inlineStr"/>
      <c r="M21" s="21" t="inlineStr"/>
      <c r="N21" s="20" t="inlineStr"/>
    </row>
    <row r="22" ht="28" customHeight="1">
      <c r="A22" s="17" t="inlineStr">
        <is>
          <t>AD-03-19</t>
        </is>
      </c>
      <c r="B22" s="6" t="inlineStr">
        <is>
          <t>Discount approval</t>
        </is>
      </c>
      <c r="C22" s="6" t="inlineStr">
        <is>
          <t>A discount granted by a programme does NOT need approval</t>
        </is>
      </c>
      <c r="D22" s="18" t="inlineStr">
        <is>
          <t>Positive</t>
        </is>
      </c>
      <c r="E22" s="19" t="inlineStr">
        <is>
          <t>High</t>
        </is>
      </c>
      <c r="F22" s="6" t="inlineStr">
        <is>
          <t>A quotation has a programme discount of 30% applied automatically.</t>
        </is>
      </c>
      <c r="G22" s="6" t="inlineStr">
        <is>
          <t>1. Try to send the quotation.</t>
        </is>
      </c>
      <c r="H22" s="6" t="inlineStr">
        <is>
          <t>-</t>
        </is>
      </c>
      <c r="I22" s="6" t="inlineStr">
        <is>
          <t>It sends without waiting for a sales-lead approval, even though 30% is above the 20% standing threshold — the programme was approved when it was configured.</t>
        </is>
      </c>
      <c r="J22" s="20" t="inlineStr"/>
      <c r="K22" s="21" t="inlineStr"/>
      <c r="L22" s="20" t="inlineStr"/>
      <c r="M22" s="21" t="inlineStr"/>
      <c r="N22" s="20" t="inlineStr"/>
    </row>
    <row r="23" ht="54" customHeight="1">
      <c r="A23" s="22" t="inlineStr">
        <is>
          <t>AD-03-20</t>
        </is>
      </c>
      <c r="B23" s="23" t="inlineStr">
        <is>
          <t>Discount approval</t>
        </is>
      </c>
      <c r="C23" s="23" t="inlineStr">
        <is>
          <t>A manual discount above the threshold blocks Send until a lead approves</t>
        </is>
      </c>
      <c r="D23" s="24" t="inlineStr">
        <is>
          <t>Negative</t>
        </is>
      </c>
      <c r="E23" s="19" t="inlineStr">
        <is>
          <t>High</t>
        </is>
      </c>
      <c r="F23" s="23" t="inlineStr">
        <is>
          <t>You are on a quotation.</t>
        </is>
      </c>
      <c r="G23" s="23" t="inlineStr">
        <is>
          <t>1. Turn auto-apply OFF.
2. Type a discount of 35% by hand.
3. Try to send.
4. Look at how the row appears in the quotation list.</t>
        </is>
      </c>
      <c r="H23" s="23" t="inlineStr">
        <is>
          <t>Manual discount: 35%</t>
        </is>
      </c>
      <c r="I23" s="23" t="inlineStr">
        <is>
          <t>Send is blocked until a sales lead approves.
The list row still reads 'Draft' with an 'awaiting approval' flag — 'awaiting approval' is not a fifth status.</t>
        </is>
      </c>
      <c r="J23" s="20" t="inlineStr"/>
      <c r="K23" s="21" t="inlineStr"/>
      <c r="L23" s="20" t="inlineStr"/>
      <c r="M23" s="21" t="inlineStr"/>
      <c r="N23" s="20" t="inlineStr"/>
    </row>
    <row r="24" ht="28" customHeight="1">
      <c r="A24" s="17" t="inlineStr">
        <is>
          <t>AD-03-21</t>
        </is>
      </c>
      <c r="B24" s="6" t="inlineStr">
        <is>
          <t>Pipeline effect</t>
        </is>
      </c>
      <c r="C24" s="6" t="inlineStr">
        <is>
          <t>Creating a DRAFT quotation already puts the company on the pipeline board</t>
        </is>
      </c>
      <c r="D24" s="18" t="inlineStr">
        <is>
          <t>Positive</t>
        </is>
      </c>
      <c r="E24" s="19" t="inlineStr">
        <is>
          <t>High</t>
        </is>
      </c>
      <c r="F24" s="6" t="inlineStr">
        <is>
          <t>The company has no open deal and reads 'Not in pipeline'.</t>
        </is>
      </c>
      <c r="G24" s="6" t="inlineStr">
        <is>
          <t>1. Create a quotation and save it as Draft — do not send it.
2. Open CRM → Sales pipeline.</t>
        </is>
      </c>
      <c r="H24" s="6" t="inlineStr">
        <is>
          <t>-</t>
        </is>
      </c>
      <c r="I24" s="6" t="inlineStr">
        <is>
          <t>A card for that company appears in the Proposal column while the quotation is still a Draft.
Writing the quote IS the proposal work, so the deal is visible from the first keystroke.</t>
        </is>
      </c>
      <c r="J24" s="20" t="inlineStr"/>
      <c r="K24" s="21" t="inlineStr"/>
      <c r="L24" s="20" t="inlineStr"/>
      <c r="M24" s="21" t="inlineStr"/>
      <c r="N24" s="20" t="inlineStr"/>
    </row>
    <row r="25" ht="40.5" customHeight="1">
      <c r="A25" s="22" t="inlineStr">
        <is>
          <t>AD-03-22</t>
        </is>
      </c>
      <c r="B25" s="23" t="inlineStr">
        <is>
          <t>Sending</t>
        </is>
      </c>
      <c r="C25" s="23" t="inlineStr">
        <is>
          <t>'Send via platform' emails the client and sets the quotation to Sent</t>
        </is>
      </c>
      <c r="D25" s="18" t="inlineStr">
        <is>
          <t>Positive</t>
        </is>
      </c>
      <c r="E25" s="19" t="inlineStr">
        <is>
          <t>High</t>
        </is>
      </c>
      <c r="F25" s="23" t="inlineStr">
        <is>
          <t>You have a complete Draft quotation and can open the client's mailbox.</t>
        </is>
      </c>
      <c r="G25" s="23" t="inlineStr">
        <is>
          <t>1. Click 'Send via platform'.
2. Open the client mailbox and the rep's mailbox.
3. Look at the quotation status and the company timeline.</t>
        </is>
      </c>
      <c r="H25" s="23" t="inlineStr">
        <is>
          <t>-</t>
        </is>
      </c>
      <c r="I25" s="23" t="inlineStr">
        <is>
          <t>A PDF is generated and emailed to the client contact, with the rep in copy.
The status becomes Sent.
An entry appears on the company timeline.</t>
        </is>
      </c>
      <c r="J25" s="20" t="inlineStr"/>
      <c r="K25" s="21" t="inlineStr"/>
      <c r="L25" s="20" t="inlineStr"/>
      <c r="M25" s="21" t="inlineStr"/>
      <c r="N25" s="20" t="inlineStr"/>
    </row>
    <row r="26" ht="67.5" customHeight="1">
      <c r="A26" s="17" t="inlineStr">
        <is>
          <t>AD-03-23</t>
        </is>
      </c>
      <c r="B26" s="6" t="inlineStr">
        <is>
          <t>Sending</t>
        </is>
      </c>
      <c r="C26" s="6" t="inlineStr">
        <is>
          <t>'Mark as sent' records a send that happened outside the system</t>
        </is>
      </c>
      <c r="D26" s="18" t="inlineStr">
        <is>
          <t>Positive</t>
        </is>
      </c>
      <c r="E26" s="19" t="inlineStr">
        <is>
          <t>High</t>
        </is>
      </c>
      <c r="F26" s="6" t="inlineStr">
        <is>
          <t>You have a complete Draft quotation.</t>
        </is>
      </c>
      <c r="G26" s="6" t="inlineStr">
        <is>
          <t>1. Click 'Mark as sent'.
2. Choose the channel Zalo.
3. Set the date to two days ago.
4. Confirm the recipient and save.
5. Look at the quotation list row.</t>
        </is>
      </c>
      <c r="H26" s="6" t="inlineStr">
        <is>
          <t>Channel: Zalo
Date: 2 days ago</t>
        </is>
      </c>
      <c r="I26" s="6" t="inlineStr">
        <is>
          <t>The status becomes Sent, exactly as with the platform Send.
The list shows how it went out, for example 'Zalo · 22/07'.
This is the normal path, because most quotations leave from the rep's own mailbox or Zalo.</t>
        </is>
      </c>
      <c r="J26" s="20" t="inlineStr"/>
      <c r="K26" s="21" t="inlineStr"/>
      <c r="L26" s="20" t="inlineStr"/>
      <c r="M26" s="21" t="inlineStr"/>
      <c r="N26" s="20" t="inlineStr"/>
    </row>
    <row r="27" ht="40.5" customHeight="1">
      <c r="A27" s="22" t="inlineStr">
        <is>
          <t>AD-03-24</t>
        </is>
      </c>
      <c r="B27" s="23" t="inlineStr">
        <is>
          <t>Sending</t>
        </is>
      </c>
      <c r="C27" s="23" t="inlineStr">
        <is>
          <t>The send date can be back-dated but never future-dated</t>
        </is>
      </c>
      <c r="D27" s="24" t="inlineStr">
        <is>
          <t>Negative</t>
        </is>
      </c>
      <c r="E27" s="19" t="inlineStr">
        <is>
          <t>High</t>
        </is>
      </c>
      <c r="F27" s="23" t="inlineStr">
        <is>
          <t>You are on the 'Mark as sent' screen.</t>
        </is>
      </c>
      <c r="G27" s="23" t="inlineStr">
        <is>
          <t>1. Set the date to 3 days ago and save.
2. Start again on another quotation and set the date to tomorrow.</t>
        </is>
      </c>
      <c r="H27" s="23" t="inlineStr">
        <is>
          <t>Yesterday, then tomorrow</t>
        </is>
      </c>
      <c r="I27" s="23" t="inlineStr">
        <is>
          <t>A past date is accepted.
A future date is refused.
The back-dated date is what the rot clock and the expiry warning use — recording a send late must not hand the rep a fresh week of silence.</t>
        </is>
      </c>
      <c r="J27" s="20" t="inlineStr"/>
      <c r="K27" s="21" t="inlineStr"/>
      <c r="L27" s="20" t="inlineStr"/>
      <c r="M27" s="21" t="inlineStr"/>
      <c r="N27" s="20" t="inlineStr"/>
    </row>
    <row r="28" ht="28" customHeight="1">
      <c r="A28" s="17" t="inlineStr">
        <is>
          <t>AD-03-25</t>
        </is>
      </c>
      <c r="B28" s="6" t="inlineStr">
        <is>
          <t>Sending</t>
        </is>
      </c>
      <c r="C28" s="6" t="inlineStr">
        <is>
          <t>'Mark as sent' obeys the same gates as Send</t>
        </is>
      </c>
      <c r="D28" s="24" t="inlineStr">
        <is>
          <t>Negative</t>
        </is>
      </c>
      <c r="E28" s="19" t="inlineStr">
        <is>
          <t>High</t>
        </is>
      </c>
      <c r="F28" s="6" t="inlineStr">
        <is>
          <t>You have a quotation with an empty tax code, and another with a 35% manual discount not yet approved.</t>
        </is>
      </c>
      <c r="G28" s="6" t="inlineStr">
        <is>
          <t>1. Try 'Mark as sent' on the one with no tax code.
2. Try 'Mark as sent' on the one with the unapproved discount.</t>
        </is>
      </c>
      <c r="H28" s="6" t="inlineStr">
        <is>
          <t>-</t>
        </is>
      </c>
      <c r="I28" s="6" t="inlineStr">
        <is>
          <t>Both are refused, for the same reasons Send would be refused.
'Mark as sent' is another channel, not a way around the controls.</t>
        </is>
      </c>
      <c r="J28" s="20" t="inlineStr"/>
      <c r="K28" s="21" t="inlineStr"/>
      <c r="L28" s="20" t="inlineStr"/>
      <c r="M28" s="21" t="inlineStr"/>
      <c r="N28" s="20" t="inlineStr"/>
    </row>
    <row r="29" ht="28" customHeight="1">
      <c r="A29" s="22" t="inlineStr">
        <is>
          <t>AD-03-26</t>
        </is>
      </c>
      <c r="B29" s="23" t="inlineStr">
        <is>
          <t>Editing</t>
        </is>
      </c>
      <c r="C29" s="23" t="inlineStr">
        <is>
          <t>A Sent quotation cannot be edited</t>
        </is>
      </c>
      <c r="D29" s="24" t="inlineStr">
        <is>
          <t>Negative</t>
        </is>
      </c>
      <c r="E29" s="19" t="inlineStr">
        <is>
          <t>High</t>
        </is>
      </c>
      <c r="F29" s="23" t="inlineStr">
        <is>
          <t>You have a quotation with status Sent.</t>
        </is>
      </c>
      <c r="G29" s="23" t="inlineStr">
        <is>
          <t>1. Try to change a line item, a quantity or a price.</t>
        </is>
      </c>
      <c r="H29" s="23" t="inlineStr">
        <is>
          <t>-</t>
        </is>
      </c>
      <c r="I29" s="23" t="inlineStr">
        <is>
          <t>Nothing can be edited.
The only way to change it is a new version (Revise to v2).</t>
        </is>
      </c>
      <c r="J29" s="20" t="inlineStr"/>
      <c r="K29" s="21" t="inlineStr"/>
      <c r="L29" s="20" t="inlineStr"/>
      <c r="M29" s="21" t="inlineStr"/>
      <c r="N29" s="20" t="inlineStr"/>
    </row>
    <row r="30" ht="40.5" customHeight="1">
      <c r="A30" s="17" t="inlineStr">
        <is>
          <t>AD-03-27</t>
        </is>
      </c>
      <c r="B30" s="6" t="inlineStr">
        <is>
          <t>Revision</t>
        </is>
      </c>
      <c r="C30" s="6" t="inlineStr">
        <is>
          <t>Revising creates v2 and leaves v1 in the history</t>
        </is>
      </c>
      <c r="D30" s="18" t="inlineStr">
        <is>
          <t>Positive</t>
        </is>
      </c>
      <c r="E30" s="19" t="inlineStr">
        <is>
          <t>High</t>
        </is>
      </c>
      <c r="F30" s="6" t="inlineStr">
        <is>
          <t>You have a Sent quotation v1.</t>
        </is>
      </c>
      <c r="G30" s="6" t="inlineStr">
        <is>
          <t>1. Click Revise and type a revision reason.
2. Change a price on v2 and send it.
3. Look at the quotation list.</t>
        </is>
      </c>
      <c r="H30" s="6" t="inlineStr">
        <is>
          <t>Reason: customer asked for a lower quantity</t>
        </is>
      </c>
      <c r="I30" s="6" t="inlineStr">
        <is>
          <t>The quotation code stays the same, the version becomes v2.
v1 is still listed, greyed, marked 'replaced by v2'.
There is no separate 'revised' status — the version does that job.</t>
        </is>
      </c>
      <c r="J30" s="20" t="inlineStr"/>
      <c r="K30" s="21" t="inlineStr"/>
      <c r="L30" s="20" t="inlineStr"/>
      <c r="M30" s="21" t="inlineStr"/>
      <c r="N30" s="20" t="inlineStr"/>
    </row>
    <row r="31" ht="40.5" customHeight="1">
      <c r="A31" s="22" t="inlineStr">
        <is>
          <t>AD-03-28</t>
        </is>
      </c>
      <c r="B31" s="23" t="inlineStr">
        <is>
          <t>Accepting</t>
        </is>
      </c>
      <c r="C31" s="23" t="inlineStr">
        <is>
          <t>Recording which option the customer accepted marks the others Not chosen</t>
        </is>
      </c>
      <c r="D31" s="18" t="inlineStr">
        <is>
          <t>Positive</t>
        </is>
      </c>
      <c r="E31" s="19" t="inlineStr">
        <is>
          <t>High</t>
        </is>
      </c>
      <c r="F31" s="23" t="inlineStr">
        <is>
          <t>You have a Sent quotation with 2 options.</t>
        </is>
      </c>
      <c r="G31" s="23" t="inlineStr">
        <is>
          <t>1. Record that the customer accepted Option 2, and how it was agreed (email / Zalo / call).
2. Look at both option rows.
3. Look at the deal value on the pipeline card.</t>
        </is>
      </c>
      <c r="H31" s="23" t="inlineStr">
        <is>
          <t>Accepted: Option 2 (2,926,800)
Highest: Option 1 (6,588,000)</t>
        </is>
      </c>
      <c r="I31" s="23" t="inlineStr">
        <is>
          <t>Option 2 is marked accepted; Option 1 is marked Not chosen.
The deal value CHANGES to the accepted option — 2,926,800, going DOWN from 6,588,000.
That drop is correct: the pending figure was the ceiling and is replaced by the committed one.</t>
        </is>
      </c>
      <c r="J31" s="20" t="inlineStr"/>
      <c r="K31" s="21" t="inlineStr"/>
      <c r="L31" s="20" t="inlineStr"/>
      <c r="M31" s="21" t="inlineStr"/>
      <c r="N31" s="20" t="inlineStr"/>
    </row>
    <row r="32" ht="28" customHeight="1">
      <c r="A32" s="17" t="inlineStr">
        <is>
          <t>AD-03-29</t>
        </is>
      </c>
      <c r="B32" s="6" t="inlineStr">
        <is>
          <t>Value</t>
        </is>
      </c>
      <c r="C32" s="6" t="inlineStr">
        <is>
          <t>The 'recommended' flag changes the PDF only, never the value</t>
        </is>
      </c>
      <c r="D32" s="26" t="inlineStr">
        <is>
          <t>Edge</t>
        </is>
      </c>
      <c r="E32" s="25" t="inlineStr">
        <is>
          <t>Medium</t>
        </is>
      </c>
      <c r="F32" s="6" t="inlineStr">
        <is>
          <t>You have a quotation with a cheap option flagged 'recommended' and an expensive one not flagged.</t>
        </is>
      </c>
      <c r="G32" s="6" t="inlineStr">
        <is>
          <t>1. Look at the PDF — the recommended option should be highlighted.
2. Look at the deal value on the pipeline card BEFORE any option is accepted.</t>
        </is>
      </c>
      <c r="H32" s="6" t="inlineStr">
        <is>
          <t>Recommended: 2,926,800
Highest: 6,588,000</t>
        </is>
      </c>
      <c r="I32" s="6" t="inlineStr">
        <is>
          <t>The PDF highlights the recommended option.
The deal value is the HIGHEST option (6,588,000), not the recommended one.</t>
        </is>
      </c>
      <c r="J32" s="20" t="inlineStr"/>
      <c r="K32" s="21" t="inlineStr"/>
      <c r="L32" s="20" t="inlineStr"/>
      <c r="M32" s="21" t="inlineStr"/>
      <c r="N32" s="20" t="inlineStr"/>
    </row>
    <row r="33" ht="67.5" customHeight="1">
      <c r="A33" s="22" t="inlineStr">
        <is>
          <t>AD-03-30</t>
        </is>
      </c>
      <c r="B33" s="23" t="inlineStr">
        <is>
          <t>Expiry</t>
        </is>
      </c>
      <c r="C33" s="23" t="inlineStr">
        <is>
          <t>At month-end an un-issued quotation expires and the card leaves the board</t>
        </is>
      </c>
      <c r="D33" s="26" t="inlineStr">
        <is>
          <t>Edge</t>
        </is>
      </c>
      <c r="E33" s="19" t="inlineStr">
        <is>
          <t>High</t>
        </is>
      </c>
      <c r="F33" s="23" t="inlineStr">
        <is>
          <t>You have a Sent quotation with no PO issued, and the month is about to end (ask a developer to run the month-end job, or move the server date forward).</t>
        </is>
      </c>
      <c r="G33" s="23" t="inlineStr">
        <is>
          <t>1. Note the company's pipeline stage.
2. Run / wait for the month-end job.
3. Look at the quotation status.
4. Look at the pipeline board.
5. Look at the company's customer status.</t>
        </is>
      </c>
      <c r="H33" s="23" t="inlineStr">
        <is>
          <t>-</t>
        </is>
      </c>
      <c r="I33" s="23" t="inlineStr">
        <is>
          <t>The quotation status becomes Expired.
The company's card leaves the pipeline board.
It is NOT marked Lost, no reason was recorded, and the customer status did NOT change.</t>
        </is>
      </c>
      <c r="J33" s="20" t="inlineStr"/>
      <c r="K33" s="21" t="inlineStr"/>
      <c r="L33" s="20" t="inlineStr"/>
      <c r="M33" s="21" t="inlineStr"/>
      <c r="N33" s="20" t="inlineStr"/>
    </row>
    <row r="34" ht="40.5" customHeight="1">
      <c r="A34" s="17" t="inlineStr">
        <is>
          <t>AD-03-31</t>
        </is>
      </c>
      <c r="B34" s="6" t="inlineStr">
        <is>
          <t>Expiry</t>
        </is>
      </c>
      <c r="C34" s="6" t="inlineStr">
        <is>
          <t>An expired quotation cannot produce a PO</t>
        </is>
      </c>
      <c r="D34" s="24" t="inlineStr">
        <is>
          <t>Negative</t>
        </is>
      </c>
      <c r="E34" s="19" t="inlineStr">
        <is>
          <t>High</t>
        </is>
      </c>
      <c r="F34" s="6" t="inlineStr">
        <is>
          <t>You have an Expired quotation that had an accepted option.</t>
        </is>
      </c>
      <c r="G34" s="6" t="inlineStr">
        <is>
          <t>1. Try to click 'Issue PO' on it.
2. Ask a developer to POST to the create-order endpoint with that quotation id.</t>
        </is>
      </c>
      <c r="H34" s="6" t="inlineStr">
        <is>
          <t>-</t>
        </is>
      </c>
      <c r="I34" s="6" t="inlineStr">
        <is>
          <t>The button is disabled and the reason is shown.
The API ALSO refuses — this is not only hidden in the UI.
The commercial terms lapsed with the quotation.</t>
        </is>
      </c>
      <c r="J34" s="20" t="inlineStr"/>
      <c r="K34" s="21" t="inlineStr"/>
      <c r="L34" s="20" t="inlineStr"/>
      <c r="M34" s="21" t="inlineStr"/>
      <c r="N34" s="20" t="inlineStr"/>
    </row>
    <row r="35" ht="28" customHeight="1">
      <c r="A35" s="22" t="inlineStr">
        <is>
          <t>AD-03-32</t>
        </is>
      </c>
      <c r="B35" s="23" t="inlineStr">
        <is>
          <t>Expiry</t>
        </is>
      </c>
      <c r="C35" s="23" t="inlineStr">
        <is>
          <t>A new version puts the company straight back on the board</t>
        </is>
      </c>
      <c r="D35" s="18" t="inlineStr">
        <is>
          <t>Positive</t>
        </is>
      </c>
      <c r="E35" s="19" t="inlineStr">
        <is>
          <t>High</t>
        </is>
      </c>
      <c r="F35" s="23" t="inlineStr">
        <is>
          <t>You have an Expired quotation and the company is off the board.</t>
        </is>
      </c>
      <c r="G35" s="23" t="inlineStr">
        <is>
          <t>1. Revise the expired quotation to v2 (or create a brand-new quotation).
2. Look at the pipeline board.</t>
        </is>
      </c>
      <c r="H35" s="23" t="inlineStr">
        <is>
          <t>-</t>
        </is>
      </c>
      <c r="I35" s="23" t="inlineStr">
        <is>
          <t>The company reappears at Proposal immediately.</t>
        </is>
      </c>
      <c r="J35" s="20" t="inlineStr"/>
      <c r="K35" s="21" t="inlineStr"/>
      <c r="L35" s="20" t="inlineStr"/>
      <c r="M35" s="21" t="inlineStr"/>
      <c r="N35" s="20" t="inlineStr"/>
    </row>
    <row r="36" ht="40.5" customHeight="1">
      <c r="A36" s="17" t="inlineStr">
        <is>
          <t>AD-03-33</t>
        </is>
      </c>
      <c r="B36" s="6" t="inlineStr">
        <is>
          <t>PDF</t>
        </is>
      </c>
      <c r="C36" s="6" t="inlineStr">
        <is>
          <t>The PDF is bilingual and matches what is on screen</t>
        </is>
      </c>
      <c r="D36" s="18" t="inlineStr">
        <is>
          <t>Positive</t>
        </is>
      </c>
      <c r="E36" s="19" t="inlineStr">
        <is>
          <t>High</t>
        </is>
      </c>
      <c r="F36" s="6" t="inlineStr">
        <is>
          <t>You have a complete quotation with 2 options.</t>
        </is>
      </c>
      <c r="G36" s="6" t="inlineStr">
        <is>
          <t>1. Open the live preview beside the form.
2. Generate / send the PDF and open the file.
3. Compare page by page.</t>
        </is>
      </c>
      <c r="H36" s="6" t="inlineStr">
        <is>
          <t>-</t>
        </is>
      </c>
      <c r="I36" s="6" t="inlineStr">
        <is>
          <t>The preview and the sent PDF are identical, page for page.
Every block is bilingual: the issuer letterhead, client info, VAT billing block, the option tables (STT/No., Dịch vụ/Type of service, Đơn vị tính/Unit, Số lượng/Quantity, Đơn giá/Unit price, Giảm giá/Discount, Tổng giá/Total price), the totals, the amount in words, the benefit lists, the 6 terms clauses and the signature block.</t>
        </is>
      </c>
      <c r="J36" s="20" t="inlineStr"/>
      <c r="K36" s="21" t="inlineStr"/>
      <c r="L36" s="20" t="inlineStr"/>
      <c r="M36" s="21" t="inlineStr"/>
      <c r="N36" s="20" t="inlineStr"/>
    </row>
    <row r="37" ht="28" customHeight="1">
      <c r="A37" s="22" t="inlineStr">
        <is>
          <t>AD-03-34</t>
        </is>
      </c>
      <c r="B37" s="23" t="inlineStr">
        <is>
          <t>Status</t>
        </is>
      </c>
      <c r="C37" s="23" t="inlineStr">
        <is>
          <t>The quotation has exactly four statuses</t>
        </is>
      </c>
      <c r="D37" s="18" t="inlineStr">
        <is>
          <t>Positive</t>
        </is>
      </c>
      <c r="E37" s="19" t="inlineStr">
        <is>
          <t>High</t>
        </is>
      </c>
      <c r="F37" s="23" t="inlineStr">
        <is>
          <t>You are on the Quotations list.</t>
        </is>
      </c>
      <c r="G37" s="23" t="inlineStr">
        <is>
          <t>1. Open the status filter and read every value.</t>
        </is>
      </c>
      <c r="H37" s="23" t="inlineStr">
        <is>
          <t>-</t>
        </is>
      </c>
      <c r="I37" s="23" t="inlineStr">
        <is>
          <t>Exactly four: Draft, Sent, Issued to PO, Expired.
There is no 'Accepted' status, no 'Awaiting approval' status and no 'Revised' status.</t>
        </is>
      </c>
      <c r="J37" s="20" t="inlineStr"/>
      <c r="K37" s="21" t="inlineStr"/>
      <c r="L37" s="20" t="inlineStr"/>
      <c r="M37" s="21" t="inlineStr"/>
      <c r="N37" s="20" t="inlineStr"/>
    </row>
  </sheetData>
  <autoFilter ref="A3:N37"/>
  <mergeCells count="2">
    <mergeCell ref="A2:N2"/>
    <mergeCell ref="A1:N1"/>
  </mergeCells>
  <dataValidations count="1">
    <dataValidation sqref="K4:K37"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N2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AD-04 · Sales pipeline — moving a deal through the stages</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28" customHeight="1">
      <c r="A4" s="17" t="inlineStr">
        <is>
          <t>AD-04-01</t>
        </is>
      </c>
      <c r="B4" s="6" t="inlineStr">
        <is>
          <t>Pipeline board</t>
        </is>
      </c>
      <c r="C4" s="6" t="inlineStr">
        <is>
          <t>The board shows the stages in the right order</t>
        </is>
      </c>
      <c r="D4" s="18" t="inlineStr">
        <is>
          <t>Positive</t>
        </is>
      </c>
      <c r="E4" s="19" t="inlineStr">
        <is>
          <t>High</t>
        </is>
      </c>
      <c r="F4" s="6" t="inlineStr">
        <is>
          <t>You are signed in to Admin as a sales user with some deals.</t>
        </is>
      </c>
      <c r="G4" s="6" t="inlineStr">
        <is>
          <t>1. Go to CRM → Sales pipeline.
2. Read the column headings from left to right.</t>
        </is>
      </c>
      <c r="H4" s="6" t="inlineStr">
        <is>
          <t>-</t>
        </is>
      </c>
      <c r="I4" s="6" t="inlineStr">
        <is>
          <t>The columns are Proposal, Qualified, Negotiation, PO, Invoice — matching the document chain.
Lost is reachable as a filter / drawer rather than a permanent column.</t>
        </is>
      </c>
      <c r="J4" s="20" t="inlineStr"/>
      <c r="K4" s="21" t="inlineStr"/>
      <c r="L4" s="20" t="inlineStr"/>
      <c r="M4" s="21" t="inlineStr"/>
      <c r="N4" s="20" t="inlineStr"/>
    </row>
    <row r="5" ht="40.5" customHeight="1">
      <c r="A5" s="22" t="inlineStr">
        <is>
          <t>AD-04-02</t>
        </is>
      </c>
      <c r="B5" s="23" t="inlineStr">
        <is>
          <t>Pipeline board</t>
        </is>
      </c>
      <c r="C5" s="23" t="inlineStr">
        <is>
          <t>Each column shows how many deals and how much they are worth</t>
        </is>
      </c>
      <c r="D5" s="18" t="inlineStr">
        <is>
          <t>Positive</t>
        </is>
      </c>
      <c r="E5" s="19" t="inlineStr">
        <is>
          <t>High</t>
        </is>
      </c>
      <c r="F5" s="23" t="inlineStr">
        <is>
          <t>The Proposal column holds 2 deals worth 6,588,000 and 3,000,000.</t>
        </is>
      </c>
      <c r="G5" s="23" t="inlineStr">
        <is>
          <t>1. Read the count and total on the Proposal column.
2. Check the arithmetic yourself.</t>
        </is>
      </c>
      <c r="H5" s="23" t="inlineStr">
        <is>
          <t>-</t>
        </is>
      </c>
      <c r="I5" s="23" t="inlineStr">
        <is>
          <t>The column reads 2 deals and 9,588,000 ₫.
Each deal contributes exactly ONE option's total (the accepted one, otherwise the highest) — never the sum of the options it offered.
Only OPEN deals are counted.</t>
        </is>
      </c>
      <c r="J5" s="20" t="inlineStr"/>
      <c r="K5" s="21" t="inlineStr"/>
      <c r="L5" s="20" t="inlineStr"/>
      <c r="M5" s="21" t="inlineStr"/>
      <c r="N5" s="20" t="inlineStr"/>
    </row>
    <row r="6" ht="28" customHeight="1">
      <c r="A6" s="17" t="inlineStr">
        <is>
          <t>AD-04-03</t>
        </is>
      </c>
      <c r="B6" s="6" t="inlineStr">
        <is>
          <t>Deal card</t>
        </is>
      </c>
      <c r="C6" s="6" t="inlineStr">
        <is>
          <t>The card shows everything a rep needs at a glance</t>
        </is>
      </c>
      <c r="D6" s="18" t="inlineStr">
        <is>
          <t>Positive</t>
        </is>
      </c>
      <c r="E6" s="25" t="inlineStr">
        <is>
          <t>Medium</t>
        </is>
      </c>
      <c r="F6" s="6" t="inlineStr">
        <is>
          <t>There is at least one deal on the board.</t>
        </is>
      </c>
      <c r="G6" s="6" t="inlineStr">
        <is>
          <t>1. Read one card carefully.</t>
        </is>
      </c>
      <c r="H6" s="6" t="inlineStr">
        <is>
          <t>-</t>
        </is>
      </c>
      <c r="I6" s="6" t="inlineStr">
        <is>
          <t>It shows the company, its industry, the deal value, the owner, when the last activity was, a health dot (green / amber / red) and badges counting linked quotes / POs / invoices / contracts.</t>
        </is>
      </c>
      <c r="J6" s="20" t="inlineStr"/>
      <c r="K6" s="21" t="inlineStr"/>
      <c r="L6" s="20" t="inlineStr"/>
      <c r="M6" s="21" t="inlineStr"/>
      <c r="N6" s="20" t="inlineStr"/>
    </row>
    <row r="7" ht="40.5" customHeight="1">
      <c r="A7" s="22" t="inlineStr">
        <is>
          <t>AD-04-04</t>
        </is>
      </c>
      <c r="B7" s="23" t="inlineStr">
        <is>
          <t>Change stage</t>
        </is>
      </c>
      <c r="C7" s="23" t="inlineStr">
        <is>
          <t>The stage menu offers only the stages a person may set</t>
        </is>
      </c>
      <c r="D7" s="18" t="inlineStr">
        <is>
          <t>Positive</t>
        </is>
      </c>
      <c r="E7" s="19" t="inlineStr">
        <is>
          <t>High</t>
        </is>
      </c>
      <c r="F7" s="23" t="inlineStr">
        <is>
          <t>You are on the company detail page of a company with an open deal at Proposal.</t>
        </is>
      </c>
      <c r="G7" s="23" t="inlineStr">
        <is>
          <t>1. Click the stage badge in the header.
2. Read every value in the menu.</t>
        </is>
      </c>
      <c r="H7" s="23" t="inlineStr">
        <is>
          <t>-</t>
        </is>
      </c>
      <c r="I7" s="23" t="inlineStr">
        <is>
          <t>The menu offers Proposal, Qualified, Negotiation and Lost.
PO and Invoice are NOT in the menu at all — not even greyed out. They are written by the system.
The badge has a chevron inside the chip so you can tell it is clickable.</t>
        </is>
      </c>
      <c r="J7" s="20" t="inlineStr"/>
      <c r="K7" s="21" t="inlineStr"/>
      <c r="L7" s="20" t="inlineStr"/>
      <c r="M7" s="21" t="inlineStr"/>
      <c r="N7" s="20" t="inlineStr"/>
    </row>
    <row r="8" ht="40.5" customHeight="1">
      <c r="A8" s="17" t="inlineStr">
        <is>
          <t>AD-04-05</t>
        </is>
      </c>
      <c r="B8" s="6" t="inlineStr">
        <is>
          <t>Change stage</t>
        </is>
      </c>
      <c r="C8" s="6" t="inlineStr">
        <is>
          <t>Moving between Proposal, Qualified and Negotiation works in both directions</t>
        </is>
      </c>
      <c r="D8" s="18" t="inlineStr">
        <is>
          <t>Positive</t>
        </is>
      </c>
      <c r="E8" s="19" t="inlineStr">
        <is>
          <t>High</t>
        </is>
      </c>
      <c r="F8" s="6" t="inlineStr">
        <is>
          <t>A deal sits at Proposal.</t>
        </is>
      </c>
      <c r="G8" s="6" t="inlineStr">
        <is>
          <t>1. Move it to Qualified.
2. Move it to Negotiation.
3. Move it BACK to Proposal.</t>
        </is>
      </c>
      <c r="H8" s="6" t="inlineStr">
        <is>
          <t>-</t>
        </is>
      </c>
      <c r="I8" s="6" t="inlineStr">
        <is>
          <t>Every move works, forwards and backwards.
This is not a one-way ladder — deals genuinely go backwards when a champion leaves.</t>
        </is>
      </c>
      <c r="J8" s="20" t="inlineStr"/>
      <c r="K8" s="21" t="inlineStr"/>
      <c r="L8" s="20" t="inlineStr"/>
      <c r="M8" s="21" t="inlineStr"/>
      <c r="N8" s="20" t="inlineStr"/>
    </row>
    <row r="9" ht="40.5" customHeight="1">
      <c r="A9" s="22" t="inlineStr">
        <is>
          <t>AD-04-06</t>
        </is>
      </c>
      <c r="B9" s="23" t="inlineStr">
        <is>
          <t>Close as Lost</t>
        </is>
      </c>
      <c r="C9" s="23" t="inlineStr">
        <is>
          <t>Closing as Lost requires a reason</t>
        </is>
      </c>
      <c r="D9" s="24" t="inlineStr">
        <is>
          <t>Negative</t>
        </is>
      </c>
      <c r="E9" s="19" t="inlineStr">
        <is>
          <t>High</t>
        </is>
      </c>
      <c r="F9" s="23" t="inlineStr">
        <is>
          <t>A deal is open at Negotiation.</t>
        </is>
      </c>
      <c r="G9" s="23" t="inlineStr">
        <is>
          <t>1. Choose Lost from the stage badge.
2. Try to save without picking a reason.
3. Pick a reason and save.</t>
        </is>
      </c>
      <c r="H9" s="23" t="inlineStr">
        <is>
          <t>Reason: Giá cao / Price</t>
        </is>
      </c>
      <c r="I9" s="23" t="inlineStr">
        <is>
          <t>The save is blocked until a reason is chosen.
The reasons offered include: lost to competitor, price / over budget, no budget this cycle, no response / went silent, not a fit, internal approval rejected.</t>
        </is>
      </c>
      <c r="J9" s="20" t="inlineStr"/>
      <c r="K9" s="21" t="inlineStr"/>
      <c r="L9" s="20" t="inlineStr"/>
      <c r="M9" s="21" t="inlineStr"/>
      <c r="N9" s="20" t="inlineStr"/>
    </row>
    <row r="10" ht="54" customHeight="1">
      <c r="A10" s="17" t="inlineStr">
        <is>
          <t>AD-04-07</t>
        </is>
      </c>
      <c r="B10" s="6" t="inlineStr">
        <is>
          <t>Close as Lost</t>
        </is>
      </c>
      <c r="C10" s="6" t="inlineStr">
        <is>
          <t>Losing a deal does NOT change the customer status</t>
        </is>
      </c>
      <c r="D10" s="26" t="inlineStr">
        <is>
          <t>Edge</t>
        </is>
      </c>
      <c r="E10" s="19" t="inlineStr">
        <is>
          <t>High</t>
        </is>
      </c>
      <c r="F10" s="6" t="inlineStr">
        <is>
          <t>You have one New company and one Existing company, each with an open deal.</t>
        </is>
      </c>
      <c r="G10" s="6" t="inlineStr">
        <is>
          <t>1. Note both customer statuses.
2. Close both deals as Lost with a reason.
3. Check both customer statuses again.
4. Check both companies still exist.</t>
        </is>
      </c>
      <c r="H10" s="6" t="inlineStr">
        <is>
          <t>-</t>
        </is>
      </c>
      <c r="I10" s="6" t="inlineStr">
        <is>
          <t>New stays New. Existing stays Existing.
Both companies still exist, keep their history, and move to the nurture list with no open deal.
Pipeline status reads 'Not in pipeline'.</t>
        </is>
      </c>
      <c r="J10" s="20" t="inlineStr"/>
      <c r="K10" s="21" t="inlineStr"/>
      <c r="L10" s="20" t="inlineStr"/>
      <c r="M10" s="21" t="inlineStr"/>
      <c r="N10" s="20" t="inlineStr"/>
    </row>
    <row r="11" ht="28" customHeight="1">
      <c r="A11" s="22" t="inlineStr">
        <is>
          <t>AD-04-08</t>
        </is>
      </c>
      <c r="B11" s="23" t="inlineStr">
        <is>
          <t>Close as Lost</t>
        </is>
      </c>
      <c r="C11" s="23" t="inlineStr">
        <is>
          <t>A Lost deal can be re-opened</t>
        </is>
      </c>
      <c r="D11" s="18" t="inlineStr">
        <is>
          <t>Positive</t>
        </is>
      </c>
      <c r="E11" s="25" t="inlineStr">
        <is>
          <t>Medium</t>
        </is>
      </c>
      <c r="F11" s="23" t="inlineStr">
        <is>
          <t>You have a deal closed as Lost.</t>
        </is>
      </c>
      <c r="G11" s="23" t="inlineStr">
        <is>
          <t>1. Open the company and find the deal.
2. Move it back to an earlier stage.</t>
        </is>
      </c>
      <c r="H11" s="23" t="inlineStr">
        <is>
          <t>-</t>
        </is>
      </c>
      <c r="I11" s="23" t="inlineStr">
        <is>
          <t>The control is still there on a Lost deal and the deal can be re-opened.</t>
        </is>
      </c>
      <c r="J11" s="20" t="inlineStr"/>
      <c r="K11" s="21" t="inlineStr"/>
      <c r="L11" s="20" t="inlineStr"/>
      <c r="M11" s="21" t="inlineStr"/>
      <c r="N11" s="20" t="inlineStr"/>
    </row>
    <row r="12" ht="28" customHeight="1">
      <c r="A12" s="17" t="inlineStr">
        <is>
          <t>AD-04-09</t>
        </is>
      </c>
      <c r="B12" s="6" t="inlineStr">
        <is>
          <t>Terminal stage</t>
        </is>
      </c>
      <c r="C12" s="6" t="inlineStr">
        <is>
          <t>A deal that reached Invoice offers no further stage change</t>
        </is>
      </c>
      <c r="D12" s="18" t="inlineStr">
        <is>
          <t>Positive</t>
        </is>
      </c>
      <c r="E12" s="19" t="inlineStr">
        <is>
          <t>High</t>
        </is>
      </c>
      <c r="F12" s="6" t="inlineStr">
        <is>
          <t>A deal reached the Invoice stage (an invoice was issued).</t>
        </is>
      </c>
      <c r="G12" s="6" t="inlineStr">
        <is>
          <t>1. Open the company detail and look at the stage badge.</t>
        </is>
      </c>
      <c r="H12" s="6" t="inlineStr">
        <is>
          <t>-</t>
        </is>
      </c>
      <c r="I12" s="6" t="inlineStr">
        <is>
          <t>The badge is not editable — the control is not shown at all.
Invoice is terminal and closed-won.</t>
        </is>
      </c>
      <c r="J12" s="20" t="inlineStr"/>
      <c r="K12" s="21" t="inlineStr"/>
      <c r="L12" s="20" t="inlineStr"/>
      <c r="M12" s="21" t="inlineStr"/>
      <c r="N12" s="20" t="inlineStr"/>
    </row>
    <row r="13" ht="54" customHeight="1">
      <c r="A13" s="22" t="inlineStr">
        <is>
          <t>AD-04-10</t>
        </is>
      </c>
      <c r="B13" s="23" t="inlineStr">
        <is>
          <t>Rot clock</t>
        </is>
      </c>
      <c r="C13" s="23" t="inlineStr">
        <is>
          <t>A deal with no activity turns amber, then red, without moving stage</t>
        </is>
      </c>
      <c r="D13" s="26" t="inlineStr">
        <is>
          <t>Edge</t>
        </is>
      </c>
      <c r="E13" s="19" t="inlineStr">
        <is>
          <t>High</t>
        </is>
      </c>
      <c r="F13" s="23" t="inlineStr">
        <is>
          <t>A deal sits at Proposal (thresholds: amber 7 days, red 21 days). Ask a developer to move the server date, or use pre-aged test data.</t>
        </is>
      </c>
      <c r="G13" s="23" t="inlineStr">
        <is>
          <t>1. Note the deal's stage and colour.
2. Age it past 7 days with no activity — check the colour.
3. Age it past 21 days — check the colour and the 'Needs attention' filter.
4. Check the stage.</t>
        </is>
      </c>
      <c r="H13" s="23" t="inlineStr">
        <is>
          <t>-</t>
        </is>
      </c>
      <c r="I13" s="23" t="inlineStr">
        <is>
          <t>At 7 days it is amber, at 21 days it is red and it appears in the 'Needs attention' filter.
The STAGE never changes and the card never moves by itself.</t>
        </is>
      </c>
      <c r="J13" s="20" t="inlineStr"/>
      <c r="K13" s="21" t="inlineStr"/>
      <c r="L13" s="20" t="inlineStr"/>
      <c r="M13" s="21" t="inlineStr"/>
      <c r="N13" s="20" t="inlineStr"/>
    </row>
    <row r="14" ht="28" customHeight="1">
      <c r="A14" s="17" t="inlineStr">
        <is>
          <t>AD-04-11</t>
        </is>
      </c>
      <c r="B14" s="6" t="inlineStr">
        <is>
          <t>Rot clock</t>
        </is>
      </c>
      <c r="C14" s="6" t="inlineStr">
        <is>
          <t>Logging a call or a chat resets the clock</t>
        </is>
      </c>
      <c r="D14" s="18" t="inlineStr">
        <is>
          <t>Positive</t>
        </is>
      </c>
      <c r="E14" s="19" t="inlineStr">
        <is>
          <t>High</t>
        </is>
      </c>
      <c r="F14" s="6" t="inlineStr">
        <is>
          <t>You have a red deal.</t>
        </is>
      </c>
      <c r="G14" s="6" t="inlineStr">
        <is>
          <t>1. Log a call or a chat activity on the deal.
2. Look at the colour.</t>
        </is>
      </c>
      <c r="H14" s="6" t="inlineStr">
        <is>
          <t>-</t>
        </is>
      </c>
      <c r="I14" s="6" t="inlineStr">
        <is>
          <t>The deal goes back to green immediately.</t>
        </is>
      </c>
      <c r="J14" s="20" t="inlineStr"/>
      <c r="K14" s="21" t="inlineStr"/>
      <c r="L14" s="20" t="inlineStr"/>
      <c r="M14" s="21" t="inlineStr"/>
      <c r="N14" s="20" t="inlineStr"/>
    </row>
    <row r="15" ht="40.5" customHeight="1">
      <c r="A15" s="22" t="inlineStr">
        <is>
          <t>AD-04-12</t>
        </is>
      </c>
      <c r="B15" s="23" t="inlineStr">
        <is>
          <t>Rot clock</t>
        </is>
      </c>
      <c r="C15" s="23" t="inlineStr">
        <is>
          <t>A quote revision and a payment reset the clock without changing the stage</t>
        </is>
      </c>
      <c r="D15" s="26" t="inlineStr">
        <is>
          <t>Edge</t>
        </is>
      </c>
      <c r="E15" s="19" t="inlineStr">
        <is>
          <t>High</t>
        </is>
      </c>
      <c r="F15" s="23" t="inlineStr">
        <is>
          <t>You have one amber deal at Negotiation and one amber deal at PO.</t>
        </is>
      </c>
      <c r="G15" s="23" t="inlineStr">
        <is>
          <t>1. On the Negotiation deal, revise the quotation to v2 and send it. Check the colour and the stage.
2. On the PO deal, record a payment. Check the colour and the stage.</t>
        </is>
      </c>
      <c r="H15" s="23" t="inlineStr">
        <is>
          <t>-</t>
        </is>
      </c>
      <c r="I15" s="23" t="inlineStr">
        <is>
          <t>Both go green.
Neither one changes stage.
These are the two document events that are not also stage changes, and they are exactly when a deal is most alive.</t>
        </is>
      </c>
      <c r="J15" s="20" t="inlineStr"/>
      <c r="K15" s="21" t="inlineStr"/>
      <c r="L15" s="20" t="inlineStr"/>
      <c r="M15" s="21" t="inlineStr"/>
      <c r="N15" s="20" t="inlineStr"/>
    </row>
    <row r="16" ht="40.5" customHeight="1">
      <c r="A16" s="17" t="inlineStr">
        <is>
          <t>AD-04-13</t>
        </is>
      </c>
      <c r="B16" s="6" t="inlineStr">
        <is>
          <t>Rot clock</t>
        </is>
      </c>
      <c r="C16" s="6" t="inlineStr">
        <is>
          <t>System 'decay' events do NOT reset the clock</t>
        </is>
      </c>
      <c r="D16" s="24" t="inlineStr">
        <is>
          <t>Negative</t>
        </is>
      </c>
      <c r="E16" s="19" t="inlineStr">
        <is>
          <t>High</t>
        </is>
      </c>
      <c r="F16" s="6" t="inlineStr">
        <is>
          <t>You have a red deal whose quotation is about to auto-expire.</t>
        </is>
      </c>
      <c r="G16" s="6" t="inlineStr">
        <is>
          <t>1. Let the month-end job expire the quotation (or trigger an escalation).
2. Look at the timeline — the event should be listed.
3. Look at the colour.</t>
        </is>
      </c>
      <c r="H16" s="6" t="inlineStr">
        <is>
          <t>-</t>
        </is>
      </c>
      <c r="I16" s="6" t="inlineStr">
        <is>
          <t>The event appears on the timeline BUT the deal stays red.
If a system decay marker reset the clock, a deal could reset itself for ever and never rot — that is a Fail.</t>
        </is>
      </c>
      <c r="J16" s="20" t="inlineStr"/>
      <c r="K16" s="21" t="inlineStr"/>
      <c r="L16" s="20" t="inlineStr"/>
      <c r="M16" s="21" t="inlineStr"/>
      <c r="N16" s="20" t="inlineStr"/>
    </row>
    <row r="17" ht="28" customHeight="1">
      <c r="A17" s="22" t="inlineStr">
        <is>
          <t>AD-04-14</t>
        </is>
      </c>
      <c r="B17" s="23" t="inlineStr">
        <is>
          <t>Rot clock</t>
        </is>
      </c>
      <c r="C17" s="23" t="inlineStr">
        <is>
          <t>Changing the stage also resets the clock</t>
        </is>
      </c>
      <c r="D17" s="18" t="inlineStr">
        <is>
          <t>Positive</t>
        </is>
      </c>
      <c r="E17" s="25" t="inlineStr">
        <is>
          <t>Medium</t>
        </is>
      </c>
      <c r="F17" s="23" t="inlineStr">
        <is>
          <t>You have a red deal at Proposal.</t>
        </is>
      </c>
      <c r="G17" s="23" t="inlineStr">
        <is>
          <t>1. Move it to Qualified.
2. Look at the colour.</t>
        </is>
      </c>
      <c r="H17" s="23" t="inlineStr">
        <is>
          <t>-</t>
        </is>
      </c>
      <c r="I17" s="23" t="inlineStr">
        <is>
          <t>It goes green.
A rep who advances a deal but forgets to log the call must not be punished for making progress.</t>
        </is>
      </c>
      <c r="J17" s="20" t="inlineStr"/>
      <c r="K17" s="21" t="inlineStr"/>
      <c r="L17" s="20" t="inlineStr"/>
      <c r="M17" s="21" t="inlineStr"/>
      <c r="N17" s="20" t="inlineStr"/>
    </row>
    <row r="18" ht="40.5" customHeight="1">
      <c r="A18" s="17" t="inlineStr">
        <is>
          <t>AD-04-15</t>
        </is>
      </c>
      <c r="B18" s="6" t="inlineStr">
        <is>
          <t>Rot clock</t>
        </is>
      </c>
      <c r="C18" s="6" t="inlineStr">
        <is>
          <t>Skipping a stage applies the NEW stage's thresholds</t>
        </is>
      </c>
      <c r="D18" s="26" t="inlineStr">
        <is>
          <t>Edge</t>
        </is>
      </c>
      <c r="E18" s="25" t="inlineStr">
        <is>
          <t>Medium</t>
        </is>
      </c>
      <c r="F18" s="6" t="inlineStr">
        <is>
          <t>A deal sits at Proposal (7 / 21 days).</t>
        </is>
      </c>
      <c r="G18" s="6" t="inlineStr">
        <is>
          <t>1. Move it straight to Negotiation, skipping Qualified.
2. Check the colour.
3. Ask a developer which thresholds are now applied.</t>
        </is>
      </c>
      <c r="H18" s="6" t="inlineStr">
        <is>
          <t>-</t>
        </is>
      </c>
      <c r="I18" s="6" t="inlineStr">
        <is>
          <t>The card goes green on the move.
It is then judged by Negotiation's thresholds (21 / 45 days), not Proposal's.</t>
        </is>
      </c>
      <c r="J18" s="20" t="inlineStr"/>
      <c r="K18" s="21" t="inlineStr"/>
      <c r="L18" s="20" t="inlineStr"/>
      <c r="M18" s="21" t="inlineStr"/>
      <c r="N18" s="20" t="inlineStr"/>
    </row>
    <row r="19" ht="28" customHeight="1">
      <c r="A19" s="22" t="inlineStr">
        <is>
          <t>AD-04-16</t>
        </is>
      </c>
      <c r="B19" s="23" t="inlineStr">
        <is>
          <t>Awaiting reply</t>
        </is>
      </c>
      <c r="C19" s="23" t="inlineStr">
        <is>
          <t>A deal whose last activity was INBOUND shows its own badge</t>
        </is>
      </c>
      <c r="D19" s="26" t="inlineStr">
        <is>
          <t>Edge</t>
        </is>
      </c>
      <c r="E19" s="19" t="inlineStr">
        <is>
          <t>High</t>
        </is>
      </c>
      <c r="F19" s="23" t="inlineStr">
        <is>
          <t>You have a green deal.</t>
        </is>
      </c>
      <c r="G19" s="23" t="inlineStr">
        <is>
          <t>1. Log an INBOUND activity (the customer wrote or called) on it.
2. Look at the card.</t>
        </is>
      </c>
      <c r="H19" s="23" t="inlineStr">
        <is>
          <t>-</t>
        </is>
      </c>
      <c r="I19" s="23" t="inlineStr">
        <is>
          <t>An 'awaiting reply' badge appears even though the card is still GREEN.
It is a separate badge, not merged into the colour — a customer waiting on us is the most urgent card on the board even when the deal looks healthy.</t>
        </is>
      </c>
      <c r="J19" s="20" t="inlineStr"/>
      <c r="K19" s="21" t="inlineStr"/>
      <c r="L19" s="20" t="inlineStr"/>
      <c r="M19" s="21" t="inlineStr"/>
      <c r="N19" s="20" t="inlineStr"/>
    </row>
    <row r="20" ht="28" customHeight="1">
      <c r="A20" s="17" t="inlineStr">
        <is>
          <t>AD-04-17</t>
        </is>
      </c>
      <c r="B20" s="6" t="inlineStr">
        <is>
          <t>No auto-lose</t>
        </is>
      </c>
      <c r="C20" s="6" t="inlineStr">
        <is>
          <t>No background job ever closes a deal as Lost</t>
        </is>
      </c>
      <c r="D20" s="24" t="inlineStr">
        <is>
          <t>Negative</t>
        </is>
      </c>
      <c r="E20" s="19" t="inlineStr">
        <is>
          <t>High</t>
        </is>
      </c>
      <c r="F20" s="6" t="inlineStr">
        <is>
          <t>You have a deal that has been red for a long time (age it well past every threshold).</t>
        </is>
      </c>
      <c r="G20" s="6" t="inlineStr">
        <is>
          <t>1. Let the nightly job run.
2. Check the deal's stage and state.</t>
        </is>
      </c>
      <c r="H20" s="6" t="inlineStr">
        <is>
          <t>-</t>
        </is>
      </c>
      <c r="I20" s="6" t="inlineStr">
        <is>
          <t>The deal is STILL open at its stage.
It may be escalated to the sales lead's review queue, but only a human can close it as Lost, and only with a reason.</t>
        </is>
      </c>
      <c r="J20" s="20" t="inlineStr"/>
      <c r="K20" s="21" t="inlineStr"/>
      <c r="L20" s="20" t="inlineStr"/>
      <c r="M20" s="21" t="inlineStr"/>
      <c r="N20" s="20" t="inlineStr"/>
    </row>
    <row r="21" ht="28" customHeight="1">
      <c r="A21" s="22" t="inlineStr">
        <is>
          <t>AD-04-18</t>
        </is>
      </c>
      <c r="B21" s="23" t="inlineStr">
        <is>
          <t>Escalation</t>
        </is>
      </c>
      <c r="C21" s="23" t="inlineStr">
        <is>
          <t>A red deal left untouched escalates to the sales lead</t>
        </is>
      </c>
      <c r="D21" s="26" t="inlineStr">
        <is>
          <t>Edge</t>
        </is>
      </c>
      <c r="E21" s="25" t="inlineStr">
        <is>
          <t>Medium</t>
        </is>
      </c>
      <c r="F21" s="23" t="inlineStr">
        <is>
          <t>You have a red deal untouched for a further 14 days.</t>
        </is>
      </c>
      <c r="G21" s="23" t="inlineStr">
        <is>
          <t>1. Let the nightly job run.
2. Open the sales lead's review queue.</t>
        </is>
      </c>
      <c r="H21" s="23" t="inlineStr">
        <is>
          <t>-</t>
        </is>
      </c>
      <c r="I21" s="23" t="inlineStr">
        <is>
          <t>The deal appears in the review queue.
Its stage is unchanged and it is still in the pipeline.</t>
        </is>
      </c>
      <c r="J21" s="20" t="inlineStr"/>
      <c r="K21" s="21" t="inlineStr"/>
      <c r="L21" s="20" t="inlineStr"/>
      <c r="M21" s="21" t="inlineStr"/>
      <c r="N21" s="20" t="inlineStr"/>
    </row>
    <row r="22" ht="40.5" customHeight="1">
      <c r="A22" s="17" t="inlineStr">
        <is>
          <t>AD-04-19</t>
        </is>
      </c>
      <c r="B22" s="6" t="inlineStr">
        <is>
          <t>Thresholds</t>
        </is>
      </c>
      <c r="C22" s="6" t="inlineStr">
        <is>
          <t>Changing a threshold in settings re-colours the board straight away</t>
        </is>
      </c>
      <c r="D22" s="18" t="inlineStr">
        <is>
          <t>Positive</t>
        </is>
      </c>
      <c r="E22" s="25" t="inlineStr">
        <is>
          <t>Medium</t>
        </is>
      </c>
      <c r="F22" s="6" t="inlineStr">
        <is>
          <t>You have green deals at Proposal that are 8 days old.</t>
        </is>
      </c>
      <c r="G22" s="6" t="inlineStr">
        <is>
          <t>1. Note the colours.
2. In settings, change the Proposal amber threshold from 7 days to 3 days.
3. Refresh the board.</t>
        </is>
      </c>
      <c r="H22" s="6" t="inlineStr">
        <is>
          <t>Amber: 7 → 3 days</t>
        </is>
      </c>
      <c r="I22" s="6" t="inlineStr">
        <is>
          <t>The 8-day-old deals turn amber immediately, with no data migration and no waiting for a nightly job.</t>
        </is>
      </c>
      <c r="J22" s="20" t="inlineStr"/>
      <c r="K22" s="21" t="inlineStr"/>
      <c r="L22" s="20" t="inlineStr"/>
      <c r="M22" s="21" t="inlineStr"/>
      <c r="N22" s="20" t="inlineStr"/>
    </row>
    <row r="23" ht="28" customHeight="1">
      <c r="A23" s="22" t="inlineStr">
        <is>
          <t>AD-04-20</t>
        </is>
      </c>
      <c r="B23" s="23" t="inlineStr">
        <is>
          <t>One open deal</t>
        </is>
      </c>
      <c r="C23" s="23" t="inlineStr">
        <is>
          <t>A company can only have one open deal at a time</t>
        </is>
      </c>
      <c r="D23" s="24" t="inlineStr">
        <is>
          <t>Negative</t>
        </is>
      </c>
      <c r="E23" s="19" t="inlineStr">
        <is>
          <t>High</t>
        </is>
      </c>
      <c r="F23" s="23" t="inlineStr">
        <is>
          <t>A company already has an open deal.</t>
        </is>
      </c>
      <c r="G23" s="23" t="inlineStr">
        <is>
          <t>1. Try to open a second deal on the same company.
2. Look at the company's pipeline status.</t>
        </is>
      </c>
      <c r="H23" s="23" t="inlineStr">
        <is>
          <t>-</t>
        </is>
      </c>
      <c r="I23" s="23" t="inlineStr">
        <is>
          <t>A second OPEN deal is not allowed — the pipeline status has to be unambiguous.
Any number of already-closed deals can sit in the history.</t>
        </is>
      </c>
      <c r="J23" s="20" t="inlineStr"/>
      <c r="K23" s="21" t="inlineStr"/>
      <c r="L23" s="20" t="inlineStr"/>
      <c r="M23" s="21" t="inlineStr"/>
      <c r="N23" s="20" t="inlineStr"/>
    </row>
    <row r="24" ht="54" customHeight="1">
      <c r="A24" s="17" t="inlineStr">
        <is>
          <t>AD-04-21</t>
        </is>
      </c>
      <c r="B24" s="6" t="inlineStr">
        <is>
          <t>Two axes</t>
        </is>
      </c>
      <c r="C24" s="6" t="inlineStr">
        <is>
          <t>Customer status and pipeline stage are completely independent</t>
        </is>
      </c>
      <c r="D24" s="26" t="inlineStr">
        <is>
          <t>Edge</t>
        </is>
      </c>
      <c r="E24" s="19" t="inlineStr">
        <is>
          <t>High</t>
        </is>
      </c>
      <c r="F24" s="6" t="inlineStr">
        <is>
          <t>You have an Existing customer (they have been invoiced before).</t>
        </is>
      </c>
      <c r="G24" s="6" t="inlineStr">
        <is>
          <t>1. Open a NEW deal for them and send a quotation.
2. Check the customer status.
3. Move the deal to Negotiation. Check the customer status again.
4. Close it as Lost. Check the customer status again.</t>
        </is>
      </c>
      <c r="H24" s="6" t="inlineStr">
        <is>
          <t>-</t>
        </is>
      </c>
      <c r="I24" s="6" t="inlineStr">
        <is>
          <t>The customer status stays 'Existing' the whole way through.
An Existing customer with a live deal in Negotiation is normal and healthy.
Nothing a rep does on the board changes the customer status.</t>
        </is>
      </c>
      <c r="J24" s="20" t="inlineStr"/>
      <c r="K24" s="21" t="inlineStr"/>
      <c r="L24" s="20" t="inlineStr"/>
      <c r="M24" s="21" t="inlineStr"/>
      <c r="N24" s="20" t="inlineStr"/>
    </row>
    <row r="25" ht="28" customHeight="1">
      <c r="A25" s="22" t="inlineStr">
        <is>
          <t>AD-04-22</t>
        </is>
      </c>
      <c r="B25" s="23" t="inlineStr">
        <is>
          <t>Audit</t>
        </is>
      </c>
      <c r="C25" s="23" t="inlineStr">
        <is>
          <t>Every stage change is recorded</t>
        </is>
      </c>
      <c r="D25" s="18" t="inlineStr">
        <is>
          <t>Positive</t>
        </is>
      </c>
      <c r="E25" s="19" t="inlineStr">
        <is>
          <t>High</t>
        </is>
      </c>
      <c r="F25" s="23" t="inlineStr">
        <is>
          <t>You changed a deal's stage.</t>
        </is>
      </c>
      <c r="G25" s="23" t="inlineStr">
        <is>
          <t>1. Open the deal / company history.</t>
        </is>
      </c>
      <c r="H25" s="23" t="inlineStr">
        <is>
          <t>-</t>
        </is>
      </c>
      <c r="I25" s="23" t="inlineStr">
        <is>
          <t>The entry shows from which stage, to which stage, who did it, when, and the reason if there was one.</t>
        </is>
      </c>
      <c r="J25" s="20" t="inlineStr"/>
      <c r="K25" s="21" t="inlineStr"/>
      <c r="L25" s="20" t="inlineStr"/>
      <c r="M25" s="21" t="inlineStr"/>
      <c r="N25" s="20" t="inlineStr"/>
    </row>
  </sheetData>
  <autoFilter ref="A3:N25"/>
  <mergeCells count="2">
    <mergeCell ref="A2:N2"/>
    <mergeCell ref="A1:N1"/>
  </mergeCells>
  <dataValidations count="1">
    <dataValidation sqref="K4:K25"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N19"/>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AD-05 · Purchase order — issue it from the accepted option</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54" customHeight="1">
      <c r="A4" s="17" t="inlineStr">
        <is>
          <t>AD-05-01</t>
        </is>
      </c>
      <c r="B4" s="6" t="inlineStr">
        <is>
          <t>Issue PO</t>
        </is>
      </c>
      <c r="C4" s="6" t="inlineStr">
        <is>
          <t>'Issue PO' is only offered on a quotation with an accepted option</t>
        </is>
      </c>
      <c r="D4" s="24" t="inlineStr">
        <is>
          <t>Negative</t>
        </is>
      </c>
      <c r="E4" s="19" t="inlineStr">
        <is>
          <t>High</t>
        </is>
      </c>
      <c r="F4" s="6" t="inlineStr">
        <is>
          <t>You have: (a) a Sent quotation with no option accepted yet, (b) a Sent quotation with an accepted option.</t>
        </is>
      </c>
      <c r="G4" s="6" t="inlineStr">
        <is>
          <t>1. Open quotation (a) and look for 'Issue PO'.
2. Record an accepted option on it.
3. Look again.
4. Open quotation (b) — the action should already be there.</t>
        </is>
      </c>
      <c r="H4" s="6" t="inlineStr">
        <is>
          <t>-</t>
        </is>
      </c>
      <c r="I4" s="6" t="inlineStr">
        <is>
          <t>Before an option is accepted, Issue PO is not available.
After recording the accepted option, it appears on the accepted row.
The action lives on the accepted quotation, not on the company header.</t>
        </is>
      </c>
      <c r="J4" s="20" t="inlineStr"/>
      <c r="K4" s="21" t="inlineStr"/>
      <c r="L4" s="20" t="inlineStr"/>
      <c r="M4" s="21" t="inlineStr"/>
      <c r="N4" s="20" t="inlineStr"/>
    </row>
    <row r="5" ht="54" customHeight="1">
      <c r="A5" s="22" t="inlineStr">
        <is>
          <t>AD-05-02</t>
        </is>
      </c>
      <c r="B5" s="23" t="inlineStr">
        <is>
          <t>Issue PO</t>
        </is>
      </c>
      <c r="C5" s="23" t="inlineStr">
        <is>
          <t>The PO copies the accepted option exactly</t>
        </is>
      </c>
      <c r="D5" s="18" t="inlineStr">
        <is>
          <t>Positive</t>
        </is>
      </c>
      <c r="E5" s="19" t="inlineStr">
        <is>
          <t>High</t>
        </is>
      </c>
      <c r="F5" s="23" t="inlineStr">
        <is>
          <t>You have a quotation whose accepted option has 2 paid lines and 1 gift line.</t>
        </is>
      </c>
      <c r="G5" s="23" t="inlineStr">
        <is>
          <t>1. Write down the accepted option's lines, quantities, unit prices, discounts, subtotal, VAT and total after VAT.
2. Write down the billing name, address and tax code.
3. Issue the PO.
4. Compare every number and every line on the PO.</t>
        </is>
      </c>
      <c r="H5" s="23" t="inlineStr">
        <is>
          <t>-</t>
        </is>
      </c>
      <c r="I5" s="23" t="inlineStr">
        <is>
          <t>Every line, quantity, unit price, discount and total on the PO matches the accepted option exactly, gift line included.
The billing block is carried across unchanged.
Nothing had to be re-typed.</t>
        </is>
      </c>
      <c r="J5" s="20" t="inlineStr"/>
      <c r="K5" s="21" t="inlineStr"/>
      <c r="L5" s="20" t="inlineStr"/>
      <c r="M5" s="21" t="inlineStr"/>
      <c r="N5" s="20" t="inlineStr"/>
    </row>
    <row r="6" ht="28" customHeight="1">
      <c r="A6" s="17" t="inlineStr">
        <is>
          <t>AD-05-03</t>
        </is>
      </c>
      <c r="B6" s="6" t="inlineStr">
        <is>
          <t>Issue PO</t>
        </is>
      </c>
      <c r="C6" s="6" t="inlineStr">
        <is>
          <t>Options the customer did NOT choose never appear on the PO</t>
        </is>
      </c>
      <c r="D6" s="24" t="inlineStr">
        <is>
          <t>Negative</t>
        </is>
      </c>
      <c r="E6" s="19" t="inlineStr">
        <is>
          <t>High</t>
        </is>
      </c>
      <c r="F6" s="6" t="inlineStr">
        <is>
          <t>The quotation had 3 options and option 2 was accepted.</t>
        </is>
      </c>
      <c r="G6" s="6" t="inlineStr">
        <is>
          <t>1. Issue the PO.
2. Read every line on it.</t>
        </is>
      </c>
      <c r="H6" s="6" t="inlineStr">
        <is>
          <t>-</t>
        </is>
      </c>
      <c r="I6" s="6" t="inlineStr">
        <is>
          <t>Only option 2's lines are there.
Options 1 and 3 are nowhere on the PO.</t>
        </is>
      </c>
      <c r="J6" s="20" t="inlineStr"/>
      <c r="K6" s="21" t="inlineStr"/>
      <c r="L6" s="20" t="inlineStr"/>
      <c r="M6" s="21" t="inlineStr"/>
      <c r="N6" s="20" t="inlineStr"/>
    </row>
    <row r="7" ht="28" customHeight="1">
      <c r="A7" s="22" t="inlineStr">
        <is>
          <t>AD-05-04</t>
        </is>
      </c>
      <c r="B7" s="23" t="inlineStr">
        <is>
          <t>Issue PO</t>
        </is>
      </c>
      <c r="C7" s="23" t="inlineStr">
        <is>
          <t>The PO number follows PO-{6 digits}-{MM}-{YYYY}</t>
        </is>
      </c>
      <c r="D7" s="18" t="inlineStr">
        <is>
          <t>Positive</t>
        </is>
      </c>
      <c r="E7" s="19" t="inlineStr">
        <is>
          <t>High</t>
        </is>
      </c>
      <c r="F7" s="23" t="inlineStr">
        <is>
          <t>You just issued a PO in July 2026.</t>
        </is>
      </c>
      <c r="G7" s="23" t="inlineStr">
        <is>
          <t>1. Read the PO code.
2. Issue another PO and read its code.</t>
        </is>
      </c>
      <c r="H7" s="23" t="inlineStr">
        <is>
          <t>-</t>
        </is>
      </c>
      <c r="I7" s="23" t="inlineStr">
        <is>
          <t>It reads like PO-005864-07-2026 and the next one is the next number in sequence.
It must NOT start with INV- — that prefix belongs to the tax invoice only.</t>
        </is>
      </c>
      <c r="J7" s="20" t="inlineStr"/>
      <c r="K7" s="21" t="inlineStr"/>
      <c r="L7" s="20" t="inlineStr"/>
      <c r="M7" s="21" t="inlineStr"/>
      <c r="N7" s="20" t="inlineStr"/>
    </row>
    <row r="8" ht="40.5" customHeight="1">
      <c r="A8" s="17" t="inlineStr">
        <is>
          <t>AD-05-05</t>
        </is>
      </c>
      <c r="B8" s="6" t="inlineStr">
        <is>
          <t>Issue PO</t>
        </is>
      </c>
      <c r="C8" s="6" t="inlineStr">
        <is>
          <t>A new PO is Active immediately — there is no Draft and no Sent</t>
        </is>
      </c>
      <c r="D8" s="18" t="inlineStr">
        <is>
          <t>Positive</t>
        </is>
      </c>
      <c r="E8" s="19" t="inlineStr">
        <is>
          <t>High</t>
        </is>
      </c>
      <c r="F8" s="6" t="inlineStr">
        <is>
          <t>You just issued a PO.</t>
        </is>
      </c>
      <c r="G8" s="6" t="inlineStr">
        <is>
          <t>1. Look at its status.
2. Open the status filter on the PO list and read every value.</t>
        </is>
      </c>
      <c r="H8" s="6" t="inlineStr">
        <is>
          <t>-</t>
        </is>
      </c>
      <c r="I8" s="6" t="inlineStr">
        <is>
          <t>The PO is Active straight away.
The only statuses that exist are Active, Issued invoice and Expired.
There is no Draft, no Sent, no Paid and no Cancelled.</t>
        </is>
      </c>
      <c r="J8" s="20" t="inlineStr"/>
      <c r="K8" s="21" t="inlineStr"/>
      <c r="L8" s="20" t="inlineStr"/>
      <c r="M8" s="21" t="inlineStr"/>
      <c r="N8" s="20" t="inlineStr"/>
    </row>
    <row r="9" ht="40.5" customHeight="1">
      <c r="A9" s="22" t="inlineStr">
        <is>
          <t>AD-05-06</t>
        </is>
      </c>
      <c r="B9" s="23" t="inlineStr">
        <is>
          <t>Issue PO</t>
        </is>
      </c>
      <c r="C9" s="23" t="inlineStr">
        <is>
          <t>Issuing the PO is the 'won' moment — the deal moves to the PO stage</t>
        </is>
      </c>
      <c r="D9" s="18" t="inlineStr">
        <is>
          <t>Positive</t>
        </is>
      </c>
      <c r="E9" s="19" t="inlineStr">
        <is>
          <t>High</t>
        </is>
      </c>
      <c r="F9" s="23" t="inlineStr">
        <is>
          <t>The deal was at Negotiation.</t>
        </is>
      </c>
      <c r="G9" s="23" t="inlineStr">
        <is>
          <t>1. Issue the PO.
2. Open the pipeline board.
3. Check the company's customer status.</t>
        </is>
      </c>
      <c r="H9" s="23" t="inlineStr">
        <is>
          <t>-</t>
        </is>
      </c>
      <c r="I9" s="23" t="inlineStr">
        <is>
          <t>The deal card moves to the PO column.
The customer status is UNCHANGED — a New company is still New, because they have not paid and nothing has been delivered.</t>
        </is>
      </c>
      <c r="J9" s="20" t="inlineStr"/>
      <c r="K9" s="21" t="inlineStr"/>
      <c r="L9" s="20" t="inlineStr"/>
      <c r="M9" s="21" t="inlineStr"/>
      <c r="N9" s="20" t="inlineStr"/>
    </row>
    <row r="10" ht="67.5" customHeight="1">
      <c r="A10" s="17" t="inlineStr">
        <is>
          <t>AD-05-07</t>
        </is>
      </c>
      <c r="B10" s="6" t="inlineStr">
        <is>
          <t>Issue PO</t>
        </is>
      </c>
      <c r="C10" s="6" t="inlineStr">
        <is>
          <t>A PO on its own provisions NOTHING</t>
        </is>
      </c>
      <c r="D10" s="24" t="inlineStr">
        <is>
          <t>Negative</t>
        </is>
      </c>
      <c r="E10" s="19" t="inlineStr">
        <is>
          <t>High</t>
        </is>
      </c>
      <c r="F10" s="6" t="inlineStr">
        <is>
          <t>You just issued a PO for a company that has never bought before.</t>
        </is>
      </c>
      <c r="G10" s="6" t="inlineStr">
        <is>
          <t>1. Open the company detail → Products &amp; billing (Purchased / Quota).
2. Check whether a company account or login exists.
3. Check whether a public company page exists.
4. If a company login exists, sign in and try to post a job.</t>
        </is>
      </c>
      <c r="H10" s="6" t="inlineStr">
        <is>
          <t>-</t>
        </is>
      </c>
      <c r="I10" s="6" t="inlineStr">
        <is>
          <t>There are NO purchased products and NO quota on the company.
No account and no login were created.
No company page exists.
Nothing can be posted.
If ANY quota appears at this point, mark Fail — only the invoice provisions.</t>
        </is>
      </c>
      <c r="J10" s="20" t="inlineStr"/>
      <c r="K10" s="21" t="inlineStr"/>
      <c r="L10" s="20" t="inlineStr"/>
      <c r="M10" s="21" t="inlineStr"/>
      <c r="N10" s="20" t="inlineStr"/>
    </row>
    <row r="11" ht="28" customHeight="1">
      <c r="A11" s="22" t="inlineStr">
        <is>
          <t>AD-05-08</t>
        </is>
      </c>
      <c r="B11" s="23" t="inlineStr">
        <is>
          <t>Issue PO</t>
        </is>
      </c>
      <c r="C11" s="23" t="inlineStr">
        <is>
          <t>The PO expires at the end of the month it was issued in</t>
        </is>
      </c>
      <c r="D11" s="26" t="inlineStr">
        <is>
          <t>Edge</t>
        </is>
      </c>
      <c r="E11" s="19" t="inlineStr">
        <is>
          <t>High</t>
        </is>
      </c>
      <c r="F11" s="23" t="inlineStr">
        <is>
          <t>You can issue POs on different dates (move the server date if needed).</t>
        </is>
      </c>
      <c r="G11" s="23" t="inlineStr">
        <is>
          <t>1. Issue a PO on the 5th of the month and read its expiry date.
2. Issue another on the 28th of the same month and read its expiry date.</t>
        </is>
      </c>
      <c r="H11" s="23" t="inlineStr">
        <is>
          <t>-</t>
        </is>
      </c>
      <c r="I11" s="23" t="inlineStr">
        <is>
          <t>BOTH expire on the last day of that month, for example 31/07.
It is never a rolling 30 days.</t>
        </is>
      </c>
      <c r="J11" s="20" t="inlineStr"/>
      <c r="K11" s="21" t="inlineStr"/>
      <c r="L11" s="20" t="inlineStr"/>
      <c r="M11" s="21" t="inlineStr"/>
      <c r="N11" s="20" t="inlineStr"/>
    </row>
    <row r="12" ht="40.5" customHeight="1">
      <c r="A12" s="17" t="inlineStr">
        <is>
          <t>AD-05-09</t>
        </is>
      </c>
      <c r="B12" s="6" t="inlineStr">
        <is>
          <t>Issue PO</t>
        </is>
      </c>
      <c r="C12" s="6" t="inlineStr">
        <is>
          <t>A PO cannot be issued from an expired quotation</t>
        </is>
      </c>
      <c r="D12" s="24" t="inlineStr">
        <is>
          <t>Negative</t>
        </is>
      </c>
      <c r="E12" s="19" t="inlineStr">
        <is>
          <t>High</t>
        </is>
      </c>
      <c r="F12" s="6" t="inlineStr">
        <is>
          <t>You have an Expired quotation that had an accepted option.</t>
        </is>
      </c>
      <c r="G12" s="6" t="inlineStr">
        <is>
          <t>1. Try to issue a PO from it.
2. Ask a developer to POST to the create-order endpoint with that quotation id.</t>
        </is>
      </c>
      <c r="H12" s="6" t="inlineStr">
        <is>
          <t>-</t>
        </is>
      </c>
      <c r="I12" s="6" t="inlineStr">
        <is>
          <t>Both the screen and the API refuse it.
The reason is shown: the commercial terms lapsed with the quotation.
Revise to v2 or extend it first.</t>
        </is>
      </c>
      <c r="J12" s="20" t="inlineStr"/>
      <c r="K12" s="21" t="inlineStr"/>
      <c r="L12" s="20" t="inlineStr"/>
      <c r="M12" s="21" t="inlineStr"/>
      <c r="N12" s="20" t="inlineStr"/>
    </row>
    <row r="13" ht="40.5" customHeight="1">
      <c r="A13" s="22" t="inlineStr">
        <is>
          <t>AD-05-10</t>
        </is>
      </c>
      <c r="B13" s="23" t="inlineStr">
        <is>
          <t>Issue PO</t>
        </is>
      </c>
      <c r="C13" s="23" t="inlineStr">
        <is>
          <t>The customer's own PO number and file can be attached without changing anything</t>
        </is>
      </c>
      <c r="D13" s="18" t="inlineStr">
        <is>
          <t>Positive</t>
        </is>
      </c>
      <c r="E13" s="25" t="inlineStr">
        <is>
          <t>Medium</t>
        </is>
      </c>
      <c r="F13" s="23" t="inlineStr">
        <is>
          <t>You have an Active PO.</t>
        </is>
      </c>
      <c r="G13" s="23" t="inlineStr">
        <is>
          <t>1. Note the PO status.
2. Attach the customer's PO number 'PO-VP/2026/044' and upload their signed PO file.
3. Check the status again.</t>
        </is>
      </c>
      <c r="H13" s="23" t="inlineStr">
        <is>
          <t>Customer PO no: PO-VP/2026/044</t>
        </is>
      </c>
      <c r="I13" s="23" t="inlineStr">
        <is>
          <t>The number and the file are saved on the PO as evidence.
The status is still Active — attaching evidence is not a status change.
The customer's number is stored exactly as they wrote it.</t>
        </is>
      </c>
      <c r="J13" s="20" t="inlineStr"/>
      <c r="K13" s="21" t="inlineStr"/>
      <c r="L13" s="20" t="inlineStr"/>
      <c r="M13" s="21" t="inlineStr"/>
      <c r="N13" s="20" t="inlineStr"/>
    </row>
    <row r="14" ht="40.5" customHeight="1">
      <c r="A14" s="17" t="inlineStr">
        <is>
          <t>AD-05-11</t>
        </is>
      </c>
      <c r="B14" s="6" t="inlineStr">
        <is>
          <t>PO</t>
        </is>
      </c>
      <c r="C14" s="6" t="inlineStr">
        <is>
          <t>A PO can never be cancelled</t>
        </is>
      </c>
      <c r="D14" s="24" t="inlineStr">
        <is>
          <t>Negative</t>
        </is>
      </c>
      <c r="E14" s="19" t="inlineStr">
        <is>
          <t>High</t>
        </is>
      </c>
      <c r="F14" s="6" t="inlineStr">
        <is>
          <t>You have an Active PO and an invoiced PO.</t>
        </is>
      </c>
      <c r="G14" s="6" t="inlineStr">
        <is>
          <t>1. Look for a Cancel action on the Active PO.
2. Look for one on the invoiced PO.
3. Ask a developer to call POST /admin/crm/orders/{id}/cancel.</t>
        </is>
      </c>
      <c r="H14" s="6" t="inlineStr">
        <is>
          <t>-</t>
        </is>
      </c>
      <c r="I14" s="6" t="inlineStr">
        <is>
          <t>There is NO cancel action in any status.
The endpoint does not exist at all — the UI is not the only thing preventing it.
A sale is undone by cancelling the INVOICE.</t>
        </is>
      </c>
      <c r="J14" s="20" t="inlineStr"/>
      <c r="K14" s="21" t="inlineStr"/>
      <c r="L14" s="20" t="inlineStr"/>
      <c r="M14" s="21" t="inlineStr"/>
      <c r="N14" s="20" t="inlineStr"/>
    </row>
    <row r="15" ht="28" customHeight="1">
      <c r="A15" s="22" t="inlineStr">
        <is>
          <t>AD-05-12</t>
        </is>
      </c>
      <c r="B15" s="23" t="inlineStr">
        <is>
          <t>PO</t>
        </is>
      </c>
      <c r="C15" s="23" t="inlineStr">
        <is>
          <t>A PO cannot be edited after it is issued</t>
        </is>
      </c>
      <c r="D15" s="24" t="inlineStr">
        <is>
          <t>Negative</t>
        </is>
      </c>
      <c r="E15" s="19" t="inlineStr">
        <is>
          <t>High</t>
        </is>
      </c>
      <c r="F15" s="23" t="inlineStr">
        <is>
          <t>You have an Active PO.</t>
        </is>
      </c>
      <c r="G15" s="23" t="inlineStr">
        <is>
          <t>1. Try to change a line, a quantity or a price on it.</t>
        </is>
      </c>
      <c r="H15" s="23" t="inlineStr">
        <is>
          <t>-</t>
        </is>
      </c>
      <c r="I15" s="23" t="inlineStr">
        <is>
          <t>Nothing can be edited.
To change what the customer buys, a new PO is issued from a live quotation.</t>
        </is>
      </c>
      <c r="J15" s="20" t="inlineStr"/>
      <c r="K15" s="21" t="inlineStr"/>
      <c r="L15" s="20" t="inlineStr"/>
      <c r="M15" s="21" t="inlineStr"/>
      <c r="N15" s="20" t="inlineStr"/>
    </row>
    <row r="16" ht="40.5" customHeight="1">
      <c r="A16" s="17" t="inlineStr">
        <is>
          <t>AD-05-13</t>
        </is>
      </c>
      <c r="B16" s="6" t="inlineStr">
        <is>
          <t>PO expiry</t>
        </is>
      </c>
      <c r="C16" s="6" t="inlineStr">
        <is>
          <t>An Active PO past its month-end is expired by the nightly job</t>
        </is>
      </c>
      <c r="D16" s="26" t="inlineStr">
        <is>
          <t>Edge</t>
        </is>
      </c>
      <c r="E16" s="19" t="inlineStr">
        <is>
          <t>High</t>
        </is>
      </c>
      <c r="F16" s="6" t="inlineStr">
        <is>
          <t>You have an Active PO from last month with no invoice on it.</t>
        </is>
      </c>
      <c r="G16" s="6" t="inlineStr">
        <is>
          <t>1. Run / wait for the nightly expiry job.
2. Check the PO status.
3. Try to issue an invoice on it.</t>
        </is>
      </c>
      <c r="H16" s="6" t="inlineStr">
        <is>
          <t>-</t>
        </is>
      </c>
      <c r="I16" s="6" t="inlineStr">
        <is>
          <t>The status becomes Expired without anybody clicking anything.
An invoice can no longer be issued on it, and the reason is shown.</t>
        </is>
      </c>
      <c r="J16" s="20" t="inlineStr"/>
      <c r="K16" s="21" t="inlineStr"/>
      <c r="L16" s="20" t="inlineStr"/>
      <c r="M16" s="21" t="inlineStr"/>
      <c r="N16" s="20" t="inlineStr"/>
    </row>
    <row r="17" ht="54" customHeight="1">
      <c r="A17" s="22" t="inlineStr">
        <is>
          <t>AD-05-14</t>
        </is>
      </c>
      <c r="B17" s="23" t="inlineStr">
        <is>
          <t>PO</t>
        </is>
      </c>
      <c r="C17" s="23" t="inlineStr">
        <is>
          <t>Payment is a fact on the PO, not a status</t>
        </is>
      </c>
      <c r="D17" s="26" t="inlineStr">
        <is>
          <t>Edge</t>
        </is>
      </c>
      <c r="E17" s="19" t="inlineStr">
        <is>
          <t>High</t>
        </is>
      </c>
      <c r="F17" s="23" t="inlineStr">
        <is>
          <t>You have an Active PO.</t>
        </is>
      </c>
      <c r="G17" s="23" t="inlineStr">
        <is>
          <t>1. Record a partial payment against it.
2. Look at the PO status and at the payment state.
3. Record the rest of the payment.
4. Look again.</t>
        </is>
      </c>
      <c r="H17" s="23" t="inlineStr">
        <is>
          <t>Partial payment, then the balance</t>
        </is>
      </c>
      <c r="I17" s="23" t="inlineStr">
        <is>
          <t>The STATUS stays Active.
A separate payment state moves unpaid → partially paid → paid.
The two are different things and are never merged into one column.</t>
        </is>
      </c>
      <c r="J17" s="20" t="inlineStr"/>
      <c r="K17" s="21" t="inlineStr"/>
      <c r="L17" s="20" t="inlineStr"/>
      <c r="M17" s="21" t="inlineStr"/>
      <c r="N17" s="20" t="inlineStr"/>
    </row>
    <row r="18" ht="28" customHeight="1">
      <c r="A18" s="17" t="inlineStr">
        <is>
          <t>AD-05-15</t>
        </is>
      </c>
      <c r="B18" s="6" t="inlineStr">
        <is>
          <t>PO list</t>
        </is>
      </c>
      <c r="C18" s="6" t="inlineStr">
        <is>
          <t>The PO list shows the columns a sales user needs</t>
        </is>
      </c>
      <c r="D18" s="18" t="inlineStr">
        <is>
          <t>Positive</t>
        </is>
      </c>
      <c r="E18" s="25" t="inlineStr">
        <is>
          <t>Medium</t>
        </is>
      </c>
      <c r="F18" s="6" t="inlineStr">
        <is>
          <t>There are several POs.</t>
        </is>
      </c>
      <c r="G18" s="6" t="inlineStr">
        <is>
          <t>1. Look at the list columns.</t>
        </is>
      </c>
      <c r="H18" s="6" t="inlineStr">
        <is>
          <t>-</t>
        </is>
      </c>
      <c r="I18" s="6" t="inlineStr">
        <is>
          <t>Each row shows the PO code, the customer, the total, the status, the payment state, how many invoices were raised against it, and the owner.</t>
        </is>
      </c>
      <c r="J18" s="20" t="inlineStr"/>
      <c r="K18" s="21" t="inlineStr"/>
      <c r="L18" s="20" t="inlineStr"/>
      <c r="M18" s="21" t="inlineStr"/>
      <c r="N18" s="20" t="inlineStr"/>
    </row>
    <row r="19" ht="40.5" customHeight="1">
      <c r="A19" s="22" t="inlineStr">
        <is>
          <t>AD-05-16</t>
        </is>
      </c>
      <c r="B19" s="23" t="inlineStr">
        <is>
          <t>Quotation link</t>
        </is>
      </c>
      <c r="C19" s="23" t="inlineStr">
        <is>
          <t>Issuing the PO moves the quotation to 'Issued to PO'</t>
        </is>
      </c>
      <c r="D19" s="18" t="inlineStr">
        <is>
          <t>Positive</t>
        </is>
      </c>
      <c r="E19" s="19" t="inlineStr">
        <is>
          <t>High</t>
        </is>
      </c>
      <c r="F19" s="23" t="inlineStr">
        <is>
          <t>You just issued a PO from a Sent quotation.</t>
        </is>
      </c>
      <c r="G19" s="23" t="inlineStr">
        <is>
          <t>1. Open the source quotation.
2. Look at its status.
3. Look at the PO's 'source quotation' field.</t>
        </is>
      </c>
      <c r="H19" s="23" t="inlineStr">
        <is>
          <t>-</t>
        </is>
      </c>
      <c r="I19" s="23" t="inlineStr">
        <is>
          <t>The quotation status is 'Issued to PO'.
The PO shows the audit link back, for example 'QUO-009909-07-2026 · Option 1'.</t>
        </is>
      </c>
      <c r="J19" s="20" t="inlineStr"/>
      <c r="K19" s="21" t="inlineStr"/>
      <c r="L19" s="20" t="inlineStr"/>
      <c r="M19" s="21" t="inlineStr"/>
      <c r="N19" s="20" t="inlineStr"/>
    </row>
  </sheetData>
  <autoFilter ref="A3:N19"/>
  <mergeCells count="2">
    <mergeCell ref="A2:N2"/>
    <mergeCell ref="A1:N1"/>
  </mergeCells>
  <dataValidations count="1">
    <dataValidation sqref="K4:K19"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21"/>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AD-06 · VAT e-invoice — issue, cancel, re-issue (Kế toán only)</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AD-06-01</t>
        </is>
      </c>
      <c r="B4" s="6" t="inlineStr">
        <is>
          <t>Issue invoice</t>
        </is>
      </c>
      <c r="C4" s="6" t="inlineStr">
        <is>
          <t>Only an Accounting (Kế toán) user can issue the VAT invoice</t>
        </is>
      </c>
      <c r="D4" s="24" t="inlineStr">
        <is>
          <t>Negative</t>
        </is>
      </c>
      <c r="E4" s="19" t="inlineStr">
        <is>
          <t>High</t>
        </is>
      </c>
      <c r="F4" s="6" t="inlineStr">
        <is>
          <t>You have an Active PO. You can sign in as a Sales user and as a Kế toán user.</t>
        </is>
      </c>
      <c r="G4" s="6" t="inlineStr">
        <is>
          <t>1. Sign in as SALES and look for 'Xuất hóa đơn' on the PO.
2. Ask a developer to POST to the create-invoice endpoint while signed in as Sales.
3. Sign in as KẾ TOÁN and look at the same PO.</t>
        </is>
      </c>
      <c r="H4" s="6" t="inlineStr">
        <is>
          <t>-</t>
        </is>
      </c>
      <c r="I4" s="6" t="inlineStr">
        <is>
          <t>Sales cannot issue the invoice — the action is not available, and the API returns 403.
Kế toán can.
The person whose target depends on the deal closing must not be the one who releases the product.</t>
        </is>
      </c>
      <c r="J4" s="20" t="inlineStr"/>
      <c r="K4" s="21" t="inlineStr"/>
      <c r="L4" s="20" t="inlineStr"/>
      <c r="M4" s="21" t="inlineStr"/>
      <c r="N4" s="20" t="inlineStr"/>
    </row>
    <row r="5" ht="40.5" customHeight="1">
      <c r="A5" s="22" t="inlineStr">
        <is>
          <t>AD-06-02</t>
        </is>
      </c>
      <c r="B5" s="23" t="inlineStr">
        <is>
          <t>Issue invoice</t>
        </is>
      </c>
      <c r="C5" s="23" t="inlineStr">
        <is>
          <t>The invoice can be issued even when nothing has been paid</t>
        </is>
      </c>
      <c r="D5" s="18" t="inlineStr">
        <is>
          <t>Positive</t>
        </is>
      </c>
      <c r="E5" s="19" t="inlineStr">
        <is>
          <t>High</t>
        </is>
      </c>
      <c r="F5" s="23" t="inlineStr">
        <is>
          <t>You have an Active PO whose payment state is 'unpaid'.</t>
        </is>
      </c>
      <c r="G5" s="23" t="inlineStr">
        <is>
          <t>1. Sign in as Kế toán.
2. Issue the VAT invoice on that PO.</t>
        </is>
      </c>
      <c r="H5" s="23" t="inlineStr">
        <is>
          <t>-</t>
        </is>
      </c>
      <c r="I5" s="23" t="inlineStr">
        <is>
          <t>The invoice is issued successfully.
A confirmed payment is NOT required — many customers need the invoice in hand before their finance team releases the money.
(This is a deliberate deviation from the client's T&amp;C clause 3 — note it in your report.)</t>
        </is>
      </c>
      <c r="J5" s="20" t="inlineStr"/>
      <c r="K5" s="21" t="inlineStr"/>
      <c r="L5" s="20" t="inlineStr"/>
      <c r="M5" s="21" t="inlineStr"/>
      <c r="N5" s="20" t="inlineStr"/>
    </row>
    <row r="6" ht="28" customHeight="1">
      <c r="A6" s="17" t="inlineStr">
        <is>
          <t>AD-06-03</t>
        </is>
      </c>
      <c r="B6" s="6" t="inlineStr">
        <is>
          <t>Issue invoice</t>
        </is>
      </c>
      <c r="C6" s="6" t="inlineStr">
        <is>
          <t>The invoice cannot be issued on an Expired PO</t>
        </is>
      </c>
      <c r="D6" s="24" t="inlineStr">
        <is>
          <t>Negative</t>
        </is>
      </c>
      <c r="E6" s="19" t="inlineStr">
        <is>
          <t>High</t>
        </is>
      </c>
      <c r="F6" s="6" t="inlineStr">
        <is>
          <t>You have an Expired PO.</t>
        </is>
      </c>
      <c r="G6" s="6" t="inlineStr">
        <is>
          <t>1. Look at the invoice action on it.
2. Ask a developer to POST to the create-invoice endpoint with that PO id.</t>
        </is>
      </c>
      <c r="H6" s="6" t="inlineStr">
        <is>
          <t>-</t>
        </is>
      </c>
      <c r="I6" s="6" t="inlineStr">
        <is>
          <t>The action is disabled and says why.
The API also refuses — the check is server-side, not just a disabled button.</t>
        </is>
      </c>
      <c r="J6" s="20" t="inlineStr"/>
      <c r="K6" s="21" t="inlineStr"/>
      <c r="L6" s="20" t="inlineStr"/>
      <c r="M6" s="21" t="inlineStr"/>
      <c r="N6" s="20" t="inlineStr"/>
    </row>
    <row r="7" ht="28" customHeight="1">
      <c r="A7" s="22" t="inlineStr">
        <is>
          <t>AD-06-04</t>
        </is>
      </c>
      <c r="B7" s="23" t="inlineStr">
        <is>
          <t>Issue invoice</t>
        </is>
      </c>
      <c r="C7" s="23" t="inlineStr">
        <is>
          <t>Issuing is blocked when the billing details do not match the quotation</t>
        </is>
      </c>
      <c r="D7" s="24" t="inlineStr">
        <is>
          <t>Negative</t>
        </is>
      </c>
      <c r="E7" s="19" t="inlineStr">
        <is>
          <t>High</t>
        </is>
      </c>
      <c r="F7" s="23" t="inlineStr">
        <is>
          <t>You have an Active PO. Ask a developer to change the billing tax code on the company after the quotation was snapshotted.</t>
        </is>
      </c>
      <c r="G7" s="23" t="inlineStr">
        <is>
          <t>1. Try to issue the invoice.</t>
        </is>
      </c>
      <c r="H7" s="23" t="inlineStr">
        <is>
          <t>-</t>
        </is>
      </c>
      <c r="I7" s="23" t="inlineStr">
        <is>
          <t>Issuing is BLOCKED with a message about the mismatch.
The details are not silently corrected — they must equal what was snapshotted on the quotation.</t>
        </is>
      </c>
      <c r="J7" s="20" t="inlineStr"/>
      <c r="K7" s="21" t="inlineStr"/>
      <c r="L7" s="20" t="inlineStr"/>
      <c r="M7" s="21" t="inlineStr"/>
      <c r="N7" s="20" t="inlineStr"/>
    </row>
    <row r="8" ht="40.5" customHeight="1">
      <c r="A8" s="17" t="inlineStr">
        <is>
          <t>AD-06-05</t>
        </is>
      </c>
      <c r="B8" s="6" t="inlineStr">
        <is>
          <t>Issue invoice</t>
        </is>
      </c>
      <c r="C8" s="6" t="inlineStr">
        <is>
          <t>Issuing is blocked when the company has no verification document</t>
        </is>
      </c>
      <c r="D8" s="24" t="inlineStr">
        <is>
          <t>Negative</t>
        </is>
      </c>
      <c r="E8" s="19" t="inlineStr">
        <is>
          <t>High</t>
        </is>
      </c>
      <c r="F8" s="6" t="inlineStr">
        <is>
          <t>You have a company with an Active PO and NO verification document on file.</t>
        </is>
      </c>
      <c r="G8" s="6" t="inlineStr">
        <is>
          <t>1. Try to issue the VAT invoice.
2. Upload a business licence.
3. Try again.</t>
        </is>
      </c>
      <c r="H8" s="6" t="inlineStr">
        <is>
          <t>-</t>
        </is>
      </c>
      <c r="I8" s="6" t="inlineStr">
        <is>
          <t>The first attempt is blocked with a clear reason — this is the point where the tax identity has to be real.
After uploading the document, issuing works.</t>
        </is>
      </c>
      <c r="J8" s="20" t="inlineStr"/>
      <c r="K8" s="21" t="inlineStr"/>
      <c r="L8" s="20" t="inlineStr"/>
      <c r="M8" s="21" t="inlineStr"/>
      <c r="N8" s="20" t="inlineStr"/>
    </row>
    <row r="9" ht="40.5" customHeight="1">
      <c r="A9" s="22" t="inlineStr">
        <is>
          <t>AD-06-06</t>
        </is>
      </c>
      <c r="B9" s="23" t="inlineStr">
        <is>
          <t>Issue invoice</t>
        </is>
      </c>
      <c r="C9" s="23" t="inlineStr">
        <is>
          <t>The invoice carries both our number and the provider's legal number</t>
        </is>
      </c>
      <c r="D9" s="18" t="inlineStr">
        <is>
          <t>Positive</t>
        </is>
      </c>
      <c r="E9" s="19" t="inlineStr">
        <is>
          <t>High</t>
        </is>
      </c>
      <c r="F9" s="23" t="inlineStr">
        <is>
          <t>You just issued a VAT invoice.</t>
        </is>
      </c>
      <c r="G9" s="23" t="inlineStr">
        <is>
          <t>1. Read the invoice code on the list and the detail.
2. Download the PDF and the XML.
3. Open the customer's mailbox.</t>
        </is>
      </c>
      <c r="H9" s="23" t="inlineStr">
        <is>
          <t>-</t>
        </is>
      </c>
      <c r="I9" s="23" t="inlineStr">
        <is>
          <t>Both numbers are shown: our internal INV-{6 digits}-{MM}-{YYYY} and the provider's legal series, for example 1C26TAA/0041.
The PDF and XML are stored and can be downloaded.
The customer receives them by email.</t>
        </is>
      </c>
      <c r="J9" s="20" t="inlineStr"/>
      <c r="K9" s="21" t="inlineStr"/>
      <c r="L9" s="20" t="inlineStr"/>
      <c r="M9" s="21" t="inlineStr"/>
      <c r="N9" s="20" t="inlineStr"/>
    </row>
    <row r="10" ht="40.5" customHeight="1">
      <c r="A10" s="17" t="inlineStr">
        <is>
          <t>AD-06-07</t>
        </is>
      </c>
      <c r="B10" s="6" t="inlineStr">
        <is>
          <t>Issue invoice</t>
        </is>
      </c>
      <c r="C10" s="6" t="inlineStr">
        <is>
          <t>Issuing closes the deal and flips the customer status</t>
        </is>
      </c>
      <c r="D10" s="18" t="inlineStr">
        <is>
          <t>Positive</t>
        </is>
      </c>
      <c r="E10" s="19" t="inlineStr">
        <is>
          <t>High</t>
        </is>
      </c>
      <c r="F10" s="6" t="inlineStr">
        <is>
          <t>The company's customer status is New and the deal is at the PO stage.</t>
        </is>
      </c>
      <c r="G10" s="6" t="inlineStr">
        <is>
          <t>1. Note the customer status and the pipeline stage.
2. Issue the VAT invoice.
3. Check the pipeline board and the company record again.</t>
        </is>
      </c>
      <c r="H10" s="6" t="inlineStr">
        <is>
          <t>-</t>
        </is>
      </c>
      <c r="I10" s="6" t="inlineStr">
        <is>
          <t>The deal closes as won and leaves the open board.
The customer status changes from New to Existing.
This is the ONLY event that writes the customer status.</t>
        </is>
      </c>
      <c r="J10" s="20" t="inlineStr"/>
      <c r="K10" s="21" t="inlineStr"/>
      <c r="L10" s="20" t="inlineStr"/>
      <c r="M10" s="21" t="inlineStr"/>
      <c r="N10" s="20" t="inlineStr"/>
    </row>
    <row r="11" ht="54" customHeight="1">
      <c r="A11" s="22" t="inlineStr">
        <is>
          <t>AD-06-08</t>
        </is>
      </c>
      <c r="B11" s="23" t="inlineStr">
        <is>
          <t>Issue invoice</t>
        </is>
      </c>
      <c r="C11" s="23" t="inlineStr">
        <is>
          <t>The 'Activate by' date is the invoice date plus the PRODUCT's own window</t>
        </is>
      </c>
      <c r="D11" s="26" t="inlineStr">
        <is>
          <t>Edge</t>
        </is>
      </c>
      <c r="E11" s="19" t="inlineStr">
        <is>
          <t>High</t>
        </is>
      </c>
      <c r="F11" s="23" t="inlineStr">
        <is>
          <t>You have a PO holding a 12-month product and a 3-month trial product.</t>
        </is>
      </c>
      <c r="G11" s="23" t="inlineStr">
        <is>
          <t>1. Issue the invoice.
2. Read the 'Activate by' / activation deadline for each line.
3. Ask a developer to change the product's activation window afterwards.
4. Re-check the deadline on this invoice.</t>
        </is>
      </c>
      <c r="H11" s="23" t="inlineStr">
        <is>
          <t>12-month product + 3-month trial</t>
        </is>
      </c>
      <c r="I11" s="23" t="inlineStr">
        <is>
          <t>Each line has its OWN deadline: invoice date + 12 months, and invoice date + 3 months.
Changing the product afterwards does NOT move the deadline on quota already sold — it was snapshotted.</t>
        </is>
      </c>
      <c r="J11" s="20" t="inlineStr"/>
      <c r="K11" s="21" t="inlineStr"/>
      <c r="L11" s="20" t="inlineStr"/>
      <c r="M11" s="21" t="inlineStr"/>
      <c r="N11" s="20" t="inlineStr"/>
    </row>
    <row r="12" ht="40.5" customHeight="1">
      <c r="A12" s="17" t="inlineStr">
        <is>
          <t>AD-06-09</t>
        </is>
      </c>
      <c r="B12" s="6" t="inlineStr">
        <is>
          <t>Issue invoice</t>
        </is>
      </c>
      <c r="C12" s="6" t="inlineStr">
        <is>
          <t>The gift lines print at 0 ₫ and add nothing to VAT</t>
        </is>
      </c>
      <c r="D12" s="18" t="inlineStr">
        <is>
          <t>Positive</t>
        </is>
      </c>
      <c r="E12" s="19" t="inlineStr">
        <is>
          <t>High</t>
        </is>
      </c>
      <c r="F12" s="6" t="inlineStr">
        <is>
          <t>The PO contains a gift '(Tặng)' line.</t>
        </is>
      </c>
      <c r="G12" s="6" t="inlineStr">
        <is>
          <t>1. Issue the invoice.
2. Open the invoice PDF.
3. Check the gift line and the VAT base.</t>
        </is>
      </c>
      <c r="H12" s="6" t="inlineStr">
        <is>
          <t>-</t>
        </is>
      </c>
      <c r="I12" s="6" t="inlineStr">
        <is>
          <t>The gift line appears at 0 ₫, so the customer has a legal record of what they receive.
It contributes nothing to the VAT base — the VAT total matches the paid lines only.</t>
        </is>
      </c>
      <c r="J12" s="20" t="inlineStr"/>
      <c r="K12" s="21" t="inlineStr"/>
      <c r="L12" s="20" t="inlineStr"/>
      <c r="M12" s="21" t="inlineStr"/>
      <c r="N12" s="20" t="inlineStr"/>
    </row>
    <row r="13" ht="28" customHeight="1">
      <c r="A13" s="22" t="inlineStr">
        <is>
          <t>AD-06-10</t>
        </is>
      </c>
      <c r="B13" s="23" t="inlineStr">
        <is>
          <t>Issue invoice</t>
        </is>
      </c>
      <c r="C13" s="23" t="inlineStr">
        <is>
          <t>The VAT rate used is the one snapshotted on the quotation</t>
        </is>
      </c>
      <c r="D13" s="26" t="inlineStr">
        <is>
          <t>Edge</t>
        </is>
      </c>
      <c r="E13" s="19" t="inlineStr">
        <is>
          <t>High</t>
        </is>
      </c>
      <c r="F13" s="23" t="inlineStr">
        <is>
          <t>A quotation was sent at 8% VAT. Ask an admin to change the VAT rate in settings to 10% afterwards.</t>
        </is>
      </c>
      <c r="G13" s="23" t="inlineStr">
        <is>
          <t>1. Issue the invoice on that PO.
2. Read the VAT rate on the invoice.</t>
        </is>
      </c>
      <c r="H13" s="23" t="inlineStr">
        <is>
          <t>Settings changed 8% → 10%</t>
        </is>
      </c>
      <c r="I13" s="23" t="inlineStr">
        <is>
          <t>The invoice prints 8% — the rate the quotation was sent with.
A state rate change does not rewrite a document already agreed.</t>
        </is>
      </c>
      <c r="J13" s="20" t="inlineStr"/>
      <c r="K13" s="21" t="inlineStr"/>
      <c r="L13" s="20" t="inlineStr"/>
      <c r="M13" s="21" t="inlineStr"/>
      <c r="N13" s="20" t="inlineStr"/>
    </row>
    <row r="14" ht="28" customHeight="1">
      <c r="A14" s="17" t="inlineStr">
        <is>
          <t>AD-06-11</t>
        </is>
      </c>
      <c r="B14" s="6" t="inlineStr">
        <is>
          <t>Issue invoice</t>
        </is>
      </c>
      <c r="C14" s="6" t="inlineStr">
        <is>
          <t>An issued invoice can never be edited</t>
        </is>
      </c>
      <c r="D14" s="24" t="inlineStr">
        <is>
          <t>Negative</t>
        </is>
      </c>
      <c r="E14" s="19" t="inlineStr">
        <is>
          <t>High</t>
        </is>
      </c>
      <c r="F14" s="6" t="inlineStr">
        <is>
          <t>You have an Issued invoice.</t>
        </is>
      </c>
      <c r="G14" s="6" t="inlineStr">
        <is>
          <t>1. Try to change any amount, line or billing detail on it.</t>
        </is>
      </c>
      <c r="H14" s="6" t="inlineStr">
        <is>
          <t>-</t>
        </is>
      </c>
      <c r="I14" s="6" t="inlineStr">
        <is>
          <t>Nothing can be edited.
The only correction path is cancel + credit note (biên bản) + re-issue — this is a Vietnamese legal requirement.</t>
        </is>
      </c>
      <c r="J14" s="20" t="inlineStr"/>
      <c r="K14" s="21" t="inlineStr"/>
      <c r="L14" s="20" t="inlineStr"/>
      <c r="M14" s="21" t="inlineStr"/>
      <c r="N14" s="20" t="inlineStr"/>
    </row>
    <row r="15" ht="54" customHeight="1">
      <c r="A15" s="22" t="inlineStr">
        <is>
          <t>AD-06-12</t>
        </is>
      </c>
      <c r="B15" s="23" t="inlineStr">
        <is>
          <t>Cancel invoice</t>
        </is>
      </c>
      <c r="C15" s="23" t="inlineStr">
        <is>
          <t>Cancelling creates a credit note and links both invoices</t>
        </is>
      </c>
      <c r="D15" s="18" t="inlineStr">
        <is>
          <t>Positive</t>
        </is>
      </c>
      <c r="E15" s="19" t="inlineStr">
        <is>
          <t>High</t>
        </is>
      </c>
      <c r="F15" s="23" t="inlineStr">
        <is>
          <t>You have an Issued invoice with wrong details.</t>
        </is>
      </c>
      <c r="G15" s="23" t="inlineStr">
        <is>
          <t>1. Sign in as Kế toán.
2. Cancel the invoice with a reason.
3. Issue a corrected replacement invoice.
4. Open both records.</t>
        </is>
      </c>
      <c r="H15" s="23" t="inlineStr">
        <is>
          <t>Reason: wrong billing address</t>
        </is>
      </c>
      <c r="I15" s="23" t="inlineStr">
        <is>
          <t>The cancelled invoice stays on record with status Cancelled.
A credit note is produced.
The two invoices link to each other in both directions.
Nothing is deleted.</t>
        </is>
      </c>
      <c r="J15" s="20" t="inlineStr"/>
      <c r="K15" s="21" t="inlineStr"/>
      <c r="L15" s="20" t="inlineStr"/>
      <c r="M15" s="21" t="inlineStr"/>
      <c r="N15" s="20" t="inlineStr"/>
    </row>
    <row r="16" ht="40.5" customHeight="1">
      <c r="A16" s="17" t="inlineStr">
        <is>
          <t>AD-06-13</t>
        </is>
      </c>
      <c r="B16" s="6" t="inlineStr">
        <is>
          <t>Cancel invoice</t>
        </is>
      </c>
      <c r="C16" s="6" t="inlineStr">
        <is>
          <t>Cancelling withdraws the quota it granted</t>
        </is>
      </c>
      <c r="D16" s="26" t="inlineStr">
        <is>
          <t>Edge</t>
        </is>
      </c>
      <c r="E16" s="19" t="inlineStr">
        <is>
          <t>High</t>
        </is>
      </c>
      <c r="F16" s="6" t="inlineStr">
        <is>
          <t>You have an invoiced PO whose quota has landed on the company and has NOT been used yet.</t>
        </is>
      </c>
      <c r="G16" s="6" t="inlineStr">
        <is>
          <t>1. Note the company's quota.
2. Cancel the invoice.
3. Check the company's quota and their ability to post a job.</t>
        </is>
      </c>
      <c r="H16" s="6" t="inlineStr">
        <is>
          <t>-</t>
        </is>
      </c>
      <c r="I16" s="6" t="inlineStr">
        <is>
          <t>The quota is withdrawn with the invoice and the company can no longer post.
The PO still reads 'Issued invoice', pointing at a cancelled invoice — it is NOT a cancelled PO.</t>
        </is>
      </c>
      <c r="J16" s="20" t="inlineStr"/>
      <c r="K16" s="21" t="inlineStr"/>
      <c r="L16" s="20" t="inlineStr"/>
      <c r="M16" s="21" t="inlineStr"/>
      <c r="N16" s="20" t="inlineStr"/>
    </row>
    <row r="17" ht="54" customHeight="1">
      <c r="A17" s="22" t="inlineStr">
        <is>
          <t>AD-06-14</t>
        </is>
      </c>
      <c r="B17" s="23" t="inlineStr">
        <is>
          <t>Cancel invoice</t>
        </is>
      </c>
      <c r="C17" s="23" t="inlineStr">
        <is>
          <t>Cancelling an invoice whose quota is PARTLY USED</t>
        </is>
      </c>
      <c r="D17" s="26" t="inlineStr">
        <is>
          <t>Edge</t>
        </is>
      </c>
      <c r="E17" s="19" t="inlineStr">
        <is>
          <t>High</t>
        </is>
      </c>
      <c r="F17" s="23" t="inlineStr">
        <is>
          <t>The company was invoiced 10 job slots and has already published 3 jobs.</t>
        </is>
      </c>
      <c r="G17" s="23" t="inlineStr">
        <is>
          <t>1. Note the remaining quota (should be 7) and the 3 live jobs.
2. Cancel the invoice.
3. Check the remaining quota, the 3 live jobs and any message shown.
4. Write down EXACTLY what happened.</t>
        </is>
      </c>
      <c r="H17" s="23" t="inlineStr">
        <is>
          <t>10 slots bought, 3 used</t>
        </is>
      </c>
      <c r="I17" s="23" t="inlineStr">
        <is>
          <t>Record exactly what the system does — the rule is still an OPEN QUESTION for the client, so this test is about capturing the behaviour, not judging it.
The three real possibilities are: only the unused 7 are clawed back; the cancel is refused because quota has been used; or the balance is allowed to go negative and settled on the credit note.
Whatever happens, the 3 published jobs must not silently disappear without a message.</t>
        </is>
      </c>
      <c r="J17" s="20" t="inlineStr"/>
      <c r="K17" s="21" t="inlineStr"/>
      <c r="L17" s="20" t="inlineStr"/>
      <c r="M17" s="21" t="inlineStr"/>
      <c r="N17" s="20" t="inlineStr"/>
    </row>
    <row r="18" ht="54" customHeight="1">
      <c r="A18" s="17" t="inlineStr">
        <is>
          <t>AD-06-15</t>
        </is>
      </c>
      <c r="B18" s="6" t="inlineStr">
        <is>
          <t>Idempotency</t>
        </is>
      </c>
      <c r="C18" s="6" t="inlineStr">
        <is>
          <t>Issuing the same invoice twice must not create two numbers or double the quota</t>
        </is>
      </c>
      <c r="D18" s="26" t="inlineStr">
        <is>
          <t>Edge</t>
        </is>
      </c>
      <c r="E18" s="19" t="inlineStr">
        <is>
          <t>High</t>
        </is>
      </c>
      <c r="F18" s="6" t="inlineStr">
        <is>
          <t>You have an Active PO. Ask a developer to help simulate a provider timeout followed by a retry.</t>
        </is>
      </c>
      <c r="G18" s="6" t="inlineStr">
        <is>
          <t>1. Note the company's quota (should be zero).
2. Trigger the issue call twice for the same invoice (timeout then retry).
3. Count the invoices for that PO.
4. Check the company's quota.</t>
        </is>
      </c>
      <c r="H18" s="6" t="inlineStr">
        <is>
          <t>-</t>
        </is>
      </c>
      <c r="I18" s="6" t="inlineStr">
        <is>
          <t>There is exactly ONE invoice with ONE legal number.
The quota is granted ONCE, not twice.
This is the most likely production bug in the whole chain — test it deliberately.</t>
        </is>
      </c>
      <c r="J18" s="20" t="inlineStr"/>
      <c r="K18" s="21" t="inlineStr"/>
      <c r="L18" s="20" t="inlineStr"/>
      <c r="M18" s="21" t="inlineStr"/>
      <c r="N18" s="20" t="inlineStr"/>
    </row>
    <row r="19" ht="40.5" customHeight="1">
      <c r="A19" s="22" t="inlineStr">
        <is>
          <t>AD-06-16</t>
        </is>
      </c>
      <c r="B19" s="23" t="inlineStr">
        <is>
          <t>Provider error</t>
        </is>
      </c>
      <c r="C19" s="23" t="inlineStr">
        <is>
          <t>A failed provider call leaves the row as 'To issue' with a Retry</t>
        </is>
      </c>
      <c r="D19" s="24" t="inlineStr">
        <is>
          <t>Negative</t>
        </is>
      </c>
      <c r="E19" s="19" t="inlineStr">
        <is>
          <t>High</t>
        </is>
      </c>
      <c r="F19" s="23" t="inlineStr">
        <is>
          <t>Ask a developer to make the e-invoice provider call fail.</t>
        </is>
      </c>
      <c r="G19" s="23" t="inlineStr">
        <is>
          <t>1. Try to issue the invoice.
2. Look at the row and the message.
3. Fix the provider and click Retry.</t>
        </is>
      </c>
      <c r="H19" s="23" t="inlineStr">
        <is>
          <t>-</t>
        </is>
      </c>
      <c r="I19" s="23" t="inlineStr">
        <is>
          <t>The row still reads 'To issue' with the provider's error message and a Retry action.
There is no separate 'Issuing' or 'Error' status — the round-trip is a spinner, not a state.
Retry succeeds and produces exactly one invoice.</t>
        </is>
      </c>
      <c r="J19" s="20" t="inlineStr"/>
      <c r="K19" s="21" t="inlineStr"/>
      <c r="L19" s="20" t="inlineStr"/>
      <c r="M19" s="21" t="inlineStr"/>
      <c r="N19" s="20" t="inlineStr"/>
    </row>
    <row r="20" ht="28" customHeight="1">
      <c r="A20" s="17" t="inlineStr">
        <is>
          <t>AD-06-17</t>
        </is>
      </c>
      <c r="B20" s="6" t="inlineStr">
        <is>
          <t>Invoice list</t>
        </is>
      </c>
      <c r="C20" s="6" t="inlineStr">
        <is>
          <t>The invoice list has three statuses and the columns Accounting needs</t>
        </is>
      </c>
      <c r="D20" s="18" t="inlineStr">
        <is>
          <t>Positive</t>
        </is>
      </c>
      <c r="E20" s="25" t="inlineStr">
        <is>
          <t>Medium</t>
        </is>
      </c>
      <c r="F20" s="6" t="inlineStr">
        <is>
          <t>There are several invoices.</t>
        </is>
      </c>
      <c r="G20" s="6" t="inlineStr">
        <is>
          <t>1. Open the status filter and read every value.
2. Look at the columns.</t>
        </is>
      </c>
      <c r="H20" s="6" t="inlineStr">
        <is>
          <t>-</t>
        </is>
      </c>
      <c r="I20" s="6" t="inlineStr">
        <is>
          <t>Three statuses only: To issue, Issued, Cancelled.
Columns show both invoice numbers, the PO, the linked payment (if any), the customer, the totals (subtotal, VAT 8%, total after VAT), the issue date and 'Activate by'.</t>
        </is>
      </c>
      <c r="J20" s="20" t="inlineStr"/>
      <c r="K20" s="21" t="inlineStr"/>
      <c r="L20" s="20" t="inlineStr"/>
      <c r="M20" s="21" t="inlineStr"/>
      <c r="N20" s="20" t="inlineStr"/>
    </row>
    <row r="21" ht="54" customHeight="1">
      <c r="A21" s="22" t="inlineStr">
        <is>
          <t>AD-06-18</t>
        </is>
      </c>
      <c r="B21" s="23" t="inlineStr">
        <is>
          <t>Payment</t>
        </is>
      </c>
      <c r="C21" s="23" t="inlineStr">
        <is>
          <t>Recording a payment and confirming it against the bank are two different actions</t>
        </is>
      </c>
      <c r="D21" s="26" t="inlineStr">
        <is>
          <t>Edge</t>
        </is>
      </c>
      <c r="E21" s="19" t="inlineStr">
        <is>
          <t>High</t>
        </is>
      </c>
      <c r="F21" s="23" t="inlineStr">
        <is>
          <t>You have an invoiced PO with an unpaid balance. You can sign in as Sales and as Kế toán.</t>
        </is>
      </c>
      <c r="G21" s="23" t="inlineStr">
        <is>
          <t>1. As Sales, record a payment (a receipt arrived).
2. Check what changed on the PO and the deal.
3. As Kế toán, confirm the payment against the bank statement.
4. Check what changed.</t>
        </is>
      </c>
      <c r="H21" s="23" t="inlineStr">
        <is>
          <t>-</t>
        </is>
      </c>
      <c r="I21" s="23" t="inlineStr">
        <is>
          <t>Sales CAN record a payment; Kế toán alone can confirm it against the bank.
Neither one changes the PO status or the deal stage — the money side no longer gates anything upstream.
The receivable is closed by the confirmation.</t>
        </is>
      </c>
      <c r="J21" s="20" t="inlineStr"/>
      <c r="K21" s="21" t="inlineStr"/>
      <c r="L21" s="20" t="inlineStr"/>
      <c r="M21" s="21" t="inlineStr"/>
      <c r="N21" s="20" t="inlineStr"/>
    </row>
  </sheetData>
  <autoFilter ref="A3:N21"/>
  <mergeCells count="2">
    <mergeCell ref="A2:N2"/>
    <mergeCell ref="A1:N1"/>
  </mergeCells>
  <dataValidations count="1">
    <dataValidation sqref="K4:K21"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N1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AD-07 · Provisioning — products and quota landing on Company detail</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AD-07-01</t>
        </is>
      </c>
      <c r="B4" s="6" t="inlineStr">
        <is>
          <t>Before invoicing</t>
        </is>
      </c>
      <c r="C4" s="6" t="inlineStr">
        <is>
          <t>A company with only a PO has nothing on Products &amp; billing</t>
        </is>
      </c>
      <c r="D4" s="24" t="inlineStr">
        <is>
          <t>Negative</t>
        </is>
      </c>
      <c r="E4" s="19" t="inlineStr">
        <is>
          <t>High</t>
        </is>
      </c>
      <c r="F4" s="6" t="inlineStr">
        <is>
          <t>You issued a PO for a brand-new company but have NOT invoiced it.</t>
        </is>
      </c>
      <c r="G4" s="6" t="inlineStr">
        <is>
          <t>1. Open the company detail → Products &amp; billing.
2. Look at Purchased and at Quota in use.</t>
        </is>
      </c>
      <c r="H4" s="6" t="inlineStr">
        <is>
          <t>-</t>
        </is>
      </c>
      <c r="I4" s="6" t="inlineStr">
        <is>
          <t>Both are empty.
No product, no slot, no CV credit.
The PO grants nothing, no matter how long it has been Active.</t>
        </is>
      </c>
      <c r="J4" s="20" t="inlineStr"/>
      <c r="K4" s="21" t="inlineStr"/>
      <c r="L4" s="20" t="inlineStr"/>
      <c r="M4" s="21" t="inlineStr"/>
      <c r="N4" s="20" t="inlineStr"/>
    </row>
    <row r="5" ht="40.5" customHeight="1">
      <c r="A5" s="22" t="inlineStr">
        <is>
          <t>AD-07-02</t>
        </is>
      </c>
      <c r="B5" s="23" t="inlineStr">
        <is>
          <t>On invoice</t>
        </is>
      </c>
      <c r="C5" s="23" t="inlineStr">
        <is>
          <t>Issuing the invoice puts the purchased products on the company record</t>
        </is>
      </c>
      <c r="D5" s="18" t="inlineStr">
        <is>
          <t>Positive</t>
        </is>
      </c>
      <c r="E5" s="19" t="inlineStr">
        <is>
          <t>High</t>
        </is>
      </c>
      <c r="F5" s="23" t="inlineStr">
        <is>
          <t>You have an Active PO with 10 Basic job slots and a COMBO 50 CV pack.</t>
        </is>
      </c>
      <c r="G5" s="23" t="inlineStr">
        <is>
          <t>1. Note that Products &amp; billing is empty.
2. Issue the VAT invoice.
3. Refresh the company detail → Products &amp; billing.</t>
        </is>
      </c>
      <c r="H5" s="23" t="inlineStr">
        <is>
          <t>10 job slots + 50 CV unlocks</t>
        </is>
      </c>
      <c r="I5" s="23" t="inlineStr">
        <is>
          <t>The product lines appear under Purchased, with the quantity that was invoiced.
They appear IMMEDIATELY — there is no queue and no second 'activate' click.</t>
        </is>
      </c>
      <c r="J5" s="20" t="inlineStr"/>
      <c r="K5" s="21" t="inlineStr"/>
      <c r="L5" s="20" t="inlineStr"/>
      <c r="M5" s="21" t="inlineStr"/>
      <c r="N5" s="20" t="inlineStr"/>
    </row>
    <row r="6" ht="28" customHeight="1">
      <c r="A6" s="17" t="inlineStr">
        <is>
          <t>AD-07-03</t>
        </is>
      </c>
      <c r="B6" s="6" t="inlineStr">
        <is>
          <t>On invoice</t>
        </is>
      </c>
      <c r="C6" s="6" t="inlineStr">
        <is>
          <t>Job slots and CV unlocks appear as usable quota</t>
        </is>
      </c>
      <c r="D6" s="18" t="inlineStr">
        <is>
          <t>Positive</t>
        </is>
      </c>
      <c r="E6" s="19" t="inlineStr">
        <is>
          <t>High</t>
        </is>
      </c>
      <c r="F6" s="6" t="inlineStr">
        <is>
          <t>You just issued the invoice from AD-07-02.</t>
        </is>
      </c>
      <c r="G6" s="6" t="inlineStr">
        <is>
          <t>1. Open Quota in use on the company detail.</t>
        </is>
      </c>
      <c r="H6" s="6" t="inlineStr">
        <is>
          <t>-</t>
        </is>
      </c>
      <c r="I6" s="6" t="inlineStr">
        <is>
          <t>10 job-posting slots at the Basic tier are shown as available balance.
50 CV unlocks are shown, with their 30- or 90-day usage window.</t>
        </is>
      </c>
      <c r="J6" s="20" t="inlineStr"/>
      <c r="K6" s="21" t="inlineStr"/>
      <c r="L6" s="20" t="inlineStr"/>
      <c r="M6" s="21" t="inlineStr"/>
      <c r="N6" s="20" t="inlineStr"/>
    </row>
    <row r="7" ht="28" customHeight="1">
      <c r="A7" s="22" t="inlineStr">
        <is>
          <t>AD-07-04</t>
        </is>
      </c>
      <c r="B7" s="23" t="inlineStr">
        <is>
          <t>On invoice</t>
        </is>
      </c>
      <c r="C7" s="23" t="inlineStr">
        <is>
          <t>Gift lines become real quota, exactly like paid ones</t>
        </is>
      </c>
      <c r="D7" s="18" t="inlineStr">
        <is>
          <t>Positive</t>
        </is>
      </c>
      <c r="E7" s="19" t="inlineStr">
        <is>
          <t>High</t>
        </is>
      </c>
      <c r="F7" s="23" t="inlineStr">
        <is>
          <t>The PO contains 5 paid slots and 2 gift '(Tặng)' slots.</t>
        </is>
      </c>
      <c r="G7" s="23" t="inlineStr">
        <is>
          <t>1. Issue the invoice.
2. Look at the quota total on the company.</t>
        </is>
      </c>
      <c r="H7" s="23" t="inlineStr">
        <is>
          <t>5 paid + 2 gift</t>
        </is>
      </c>
      <c r="I7" s="23" t="inlineStr">
        <is>
          <t>The company has 7 usable slots.
A gift is quota, not a discount — a 0 ₫ line provisions the same as a paid one.</t>
        </is>
      </c>
      <c r="J7" s="20" t="inlineStr"/>
      <c r="K7" s="21" t="inlineStr"/>
      <c r="L7" s="20" t="inlineStr"/>
      <c r="M7" s="21" t="inlineStr"/>
      <c r="N7" s="20" t="inlineStr"/>
    </row>
    <row r="8" ht="54" customHeight="1">
      <c r="A8" s="17" t="inlineStr">
        <is>
          <t>AD-07-05</t>
        </is>
      </c>
      <c r="B8" s="6" t="inlineStr">
        <is>
          <t>First purchase</t>
        </is>
      </c>
      <c r="C8" s="6" t="inlineStr">
        <is>
          <t>The first invoice creates the account, the first login and the company page</t>
        </is>
      </c>
      <c r="D8" s="18" t="inlineStr">
        <is>
          <t>Positive</t>
        </is>
      </c>
      <c r="E8" s="19" t="inlineStr">
        <is>
          <t>High</t>
        </is>
      </c>
      <c r="F8" s="6" t="inlineStr">
        <is>
          <t>The company has never bought anything before and has no login.</t>
        </is>
      </c>
      <c r="G8" s="6" t="inlineStr">
        <is>
          <t>1. Issue their first VAT invoice, on a PO containing a Job Posting product.
2. Look for a company account and its users.
3. Look for the public company page.
4. Open the contact's mailbox.</t>
        </is>
      </c>
      <c r="H8" s="6" t="inlineStr">
        <is>
          <t>-</t>
        </is>
      </c>
      <c r="I8" s="6" t="inlineStr">
        <is>
          <t>The account is created.
Exactly ONE first login is created, with the HR Manager role.
The public company page is created because they bought Job Posting.
An activation email reaches the contact.</t>
        </is>
      </c>
      <c r="J8" s="20" t="inlineStr"/>
      <c r="K8" s="21" t="inlineStr"/>
      <c r="L8" s="20" t="inlineStr"/>
      <c r="M8" s="21" t="inlineStr"/>
      <c r="N8" s="20" t="inlineStr"/>
    </row>
    <row r="9" ht="40.5" customHeight="1">
      <c r="A9" s="22" t="inlineStr">
        <is>
          <t>AD-07-06</t>
        </is>
      </c>
      <c r="B9" s="23" t="inlineStr">
        <is>
          <t>First purchase</t>
        </is>
      </c>
      <c r="C9" s="23" t="inlineStr">
        <is>
          <t>The first company user can activate and sign in</t>
        </is>
      </c>
      <c r="D9" s="18" t="inlineStr">
        <is>
          <t>Positive</t>
        </is>
      </c>
      <c r="E9" s="19" t="inlineStr">
        <is>
          <t>High</t>
        </is>
      </c>
      <c r="F9" s="23" t="inlineStr">
        <is>
          <t>The activation email from AD-07-05 has arrived.</t>
        </is>
      </c>
      <c r="G9" s="23" t="inlineStr">
        <is>
          <t>1. Click the activation link.
2. Set a password.
3. Sign in to the Company site.</t>
        </is>
      </c>
      <c r="H9" s="23" t="inlineStr">
        <is>
          <t>-</t>
        </is>
      </c>
      <c r="I9" s="23" t="inlineStr">
        <is>
          <t>The user activates, signs in, and lands on the company dashboard with their own company's data only.</t>
        </is>
      </c>
      <c r="J9" s="20" t="inlineStr"/>
      <c r="K9" s="21" t="inlineStr"/>
      <c r="L9" s="20" t="inlineStr"/>
      <c r="M9" s="21" t="inlineStr"/>
      <c r="N9" s="20" t="inlineStr"/>
    </row>
    <row r="10" ht="40.5" customHeight="1">
      <c r="A10" s="17" t="inlineStr">
        <is>
          <t>AD-07-07</t>
        </is>
      </c>
      <c r="B10" s="6" t="inlineStr">
        <is>
          <t>On invoice</t>
        </is>
      </c>
      <c r="C10" s="6" t="inlineStr">
        <is>
          <t>The company can post a job straight after invoicing</t>
        </is>
      </c>
      <c r="D10" s="18" t="inlineStr">
        <is>
          <t>Positive</t>
        </is>
      </c>
      <c r="E10" s="19" t="inlineStr">
        <is>
          <t>High</t>
        </is>
      </c>
      <c r="F10" s="6" t="inlineStr">
        <is>
          <t>The first company user is signed in and quota has been provisioned.</t>
        </is>
      </c>
      <c r="G10" s="6" t="inlineStr">
        <is>
          <t>1. Go to Jobs → Create job.
2. Choose the product they bought.
3. Publish the job.</t>
        </is>
      </c>
      <c r="H10" s="6" t="inlineStr">
        <is>
          <t>-</t>
        </is>
      </c>
      <c r="I10" s="6" t="inlineStr">
        <is>
          <t>The job publishes with no extra step and no waiting.
The employer never had to ask anyone to switch anything on.</t>
        </is>
      </c>
      <c r="J10" s="20" t="inlineStr"/>
      <c r="K10" s="21" t="inlineStr"/>
      <c r="L10" s="20" t="inlineStr"/>
      <c r="M10" s="21" t="inlineStr"/>
      <c r="N10" s="20" t="inlineStr"/>
    </row>
    <row r="11" ht="54" customHeight="1">
      <c r="A11" s="22" t="inlineStr">
        <is>
          <t>AD-07-08</t>
        </is>
      </c>
      <c r="B11" s="23" t="inlineStr">
        <is>
          <t>On invoice</t>
        </is>
      </c>
      <c r="C11" s="23" t="inlineStr">
        <is>
          <t>The company can unlock a CV straight after invoicing</t>
        </is>
      </c>
      <c r="D11" s="18" t="inlineStr">
        <is>
          <t>Positive</t>
        </is>
      </c>
      <c r="E11" s="19" t="inlineStr">
        <is>
          <t>High</t>
        </is>
      </c>
      <c r="F11" s="23" t="inlineStr">
        <is>
          <t>The company bought a CV credit pack and it has been invoiced.</t>
        </is>
      </c>
      <c r="G11" s="23" t="inlineStr">
        <is>
          <t>1. Sign in as the company user.
2. Open CV search / Resume list.
3. Unlock one candidate's CV.
4. Check the remaining credits.</t>
        </is>
      </c>
      <c r="H11" s="23" t="inlineStr">
        <is>
          <t>-</t>
        </is>
      </c>
      <c r="I11" s="23" t="inlineStr">
        <is>
          <t>CV search is available.
Unlocking works and the remaining credits drop by exactly 1.</t>
        </is>
      </c>
      <c r="J11" s="20" t="inlineStr"/>
      <c r="K11" s="21" t="inlineStr"/>
      <c r="L11" s="20" t="inlineStr"/>
      <c r="M11" s="21" t="inlineStr"/>
      <c r="N11" s="20" t="inlineStr"/>
    </row>
    <row r="12" ht="54" customHeight="1">
      <c r="A12" s="17" t="inlineStr">
        <is>
          <t>AD-07-09</t>
        </is>
      </c>
      <c r="B12" s="6" t="inlineStr">
        <is>
          <t>Quota</t>
        </is>
      </c>
      <c r="C12" s="6" t="inlineStr">
        <is>
          <t>Publishing a job takes exactly one slot from the right tier</t>
        </is>
      </c>
      <c r="D12" s="18" t="inlineStr">
        <is>
          <t>Positive</t>
        </is>
      </c>
      <c r="E12" s="19" t="inlineStr">
        <is>
          <t>High</t>
        </is>
      </c>
      <c r="F12" s="6" t="inlineStr">
        <is>
          <t>The company has 10 Basic slots and 2 Top Job slots.</t>
        </is>
      </c>
      <c r="G12" s="6" t="inlineStr">
        <is>
          <t>1. Note both balances.
2. Publish a job on the Basic product.
3. Check both balances.
4. Save another job as a DRAFT and check the balances again.</t>
        </is>
      </c>
      <c r="H12" s="6" t="inlineStr">
        <is>
          <t>-</t>
        </is>
      </c>
      <c r="I12" s="6" t="inlineStr">
        <is>
          <t>Basic goes from 10 to 9. Top Job is untouched.
Saving a DRAFT consumes nothing — only publishing (Open or Schedule) does.</t>
        </is>
      </c>
      <c r="J12" s="20" t="inlineStr"/>
      <c r="K12" s="21" t="inlineStr"/>
      <c r="L12" s="20" t="inlineStr"/>
      <c r="M12" s="21" t="inlineStr"/>
      <c r="N12" s="20" t="inlineStr"/>
    </row>
    <row r="13" ht="40.5" customHeight="1">
      <c r="A13" s="22" t="inlineStr">
        <is>
          <t>AD-07-10</t>
        </is>
      </c>
      <c r="B13" s="23" t="inlineStr">
        <is>
          <t>Quota</t>
        </is>
      </c>
      <c r="C13" s="23" t="inlineStr">
        <is>
          <t>When the quota reaches zero the action is blocked with a way to buy more</t>
        </is>
      </c>
      <c r="D13" s="24" t="inlineStr">
        <is>
          <t>Negative</t>
        </is>
      </c>
      <c r="E13" s="19" t="inlineStr">
        <is>
          <t>High</t>
        </is>
      </c>
      <c r="F13" s="23" t="inlineStr">
        <is>
          <t>The company has exactly 1 posting slot left.</t>
        </is>
      </c>
      <c r="G13" s="23" t="inlineStr">
        <is>
          <t>1. Publish a job — the balance should reach 0.
2. Try to publish another one.
3. Read the message.</t>
        </is>
      </c>
      <c r="H13" s="23" t="inlineStr">
        <is>
          <t>-</t>
        </is>
      </c>
      <c r="I13" s="23" t="inlineStr">
        <is>
          <t>The second publish is blocked.
The message offers a path to buy more (a deep link to purchase a package), not a dead end.</t>
        </is>
      </c>
      <c r="J13" s="20" t="inlineStr"/>
      <c r="K13" s="21" t="inlineStr"/>
      <c r="L13" s="20" t="inlineStr"/>
      <c r="M13" s="21" t="inlineStr"/>
      <c r="N13" s="20" t="inlineStr"/>
    </row>
    <row r="14" ht="40.5" customHeight="1">
      <c r="A14" s="17" t="inlineStr">
        <is>
          <t>AD-07-11</t>
        </is>
      </c>
      <c r="B14" s="6" t="inlineStr">
        <is>
          <t>Quota</t>
        </is>
      </c>
      <c r="C14" s="6" t="inlineStr">
        <is>
          <t>The company page exists only while Job Posting is entitled</t>
        </is>
      </c>
      <c r="D14" s="26" t="inlineStr">
        <is>
          <t>Edge</t>
        </is>
      </c>
      <c r="E14" s="25" t="inlineStr">
        <is>
          <t>Medium</t>
        </is>
      </c>
      <c r="F14" s="6" t="inlineStr">
        <is>
          <t>A company bought Job Posting and has a public company page.</t>
        </is>
      </c>
      <c r="G14" s="6" t="inlineStr">
        <is>
          <t>1. Open the public company page from the jobseeker site.
2. Ask a developer / accountant to cancel the invoice that granted Job Posting.
3. Open the public company page again.</t>
        </is>
      </c>
      <c r="H14" s="6" t="inlineStr">
        <is>
          <t>-</t>
        </is>
      </c>
      <c r="I14" s="6" t="inlineStr">
        <is>
          <t>The page exists while the entitlement does.
When the entitlement is withdrawn, the page is no longer public.
Write down exactly what a jobseeker sees at that URL afterwards.</t>
        </is>
      </c>
      <c r="J14" s="20" t="inlineStr"/>
      <c r="K14" s="21" t="inlineStr"/>
      <c r="L14" s="20" t="inlineStr"/>
      <c r="M14" s="21" t="inlineStr"/>
      <c r="N14" s="20" t="inlineStr"/>
    </row>
    <row r="15" ht="28" customHeight="1">
      <c r="A15" s="22" t="inlineStr">
        <is>
          <t>AD-07-12</t>
        </is>
      </c>
      <c r="B15" s="23" t="inlineStr">
        <is>
          <t>Entitlement</t>
        </is>
      </c>
      <c r="C15" s="23" t="inlineStr">
        <is>
          <t>Each entitlement shows which invoice it came from</t>
        </is>
      </c>
      <c r="D15" s="18" t="inlineStr">
        <is>
          <t>Positive</t>
        </is>
      </c>
      <c r="E15" s="25" t="inlineStr">
        <is>
          <t>Medium</t>
        </is>
      </c>
      <c r="F15" s="23" t="inlineStr">
        <is>
          <t>The company has provisioned products.</t>
        </is>
      </c>
      <c r="G15" s="23" t="inlineStr">
        <is>
          <t>1. Open the company detail → Products &amp; billing.
2. Look at a purchased line.</t>
        </is>
      </c>
      <c r="H15" s="23" t="inlineStr">
        <is>
          <t>-</t>
        </is>
      </c>
      <c r="I15" s="23" t="inlineStr">
        <is>
          <t>Each line links back to the PO / invoice it came from, so you can always answer 'where did this quota come from?'</t>
        </is>
      </c>
      <c r="J15" s="20" t="inlineStr"/>
      <c r="K15" s="21" t="inlineStr"/>
      <c r="L15" s="20" t="inlineStr"/>
      <c r="M15" s="21" t="inlineStr"/>
      <c r="N15" s="20" t="inlineStr"/>
    </row>
    <row r="16" ht="28" customHeight="1">
      <c r="A16" s="17" t="inlineStr">
        <is>
          <t>AD-07-13</t>
        </is>
      </c>
      <c r="B16" s="6" t="inlineStr">
        <is>
          <t>Entitlement</t>
        </is>
      </c>
      <c r="C16" s="6" t="inlineStr">
        <is>
          <t>Unused quota shows its activation deadline</t>
        </is>
      </c>
      <c r="D16" s="18" t="inlineStr">
        <is>
          <t>Positive</t>
        </is>
      </c>
      <c r="E16" s="25" t="inlineStr">
        <is>
          <t>Medium</t>
        </is>
      </c>
      <c r="F16" s="6" t="inlineStr">
        <is>
          <t>The company was invoiced 10 slots with a 12-month activation window.</t>
        </is>
      </c>
      <c r="G16" s="6" t="inlineStr">
        <is>
          <t>1. Open the quota view.
2. Look for the activation deadline.</t>
        </is>
      </c>
      <c r="H16" s="6" t="inlineStr">
        <is>
          <t>-</t>
        </is>
      </c>
      <c r="I16" s="6" t="inlineStr">
        <is>
          <t>The deadline (invoice date + 12 months) is visible, so paid-for-but-unused quota does not silently disappear.
Write in Notes whether a reminder is sent at 60 / 30 / 7 days — that is still an open question for the client.</t>
        </is>
      </c>
      <c r="J16" s="20" t="inlineStr"/>
      <c r="K16" s="21" t="inlineStr"/>
      <c r="L16" s="20" t="inlineStr"/>
      <c r="M16" s="21" t="inlineStr"/>
      <c r="N16" s="20" t="inlineStr"/>
    </row>
    <row r="17" ht="28" customHeight="1">
      <c r="A17" s="22" t="inlineStr">
        <is>
          <t>AD-07-14</t>
        </is>
      </c>
      <c r="B17" s="23" t="inlineStr">
        <is>
          <t>Entitlement</t>
        </is>
      </c>
      <c r="C17" s="23" t="inlineStr">
        <is>
          <t>Quota is never picked by hand</t>
        </is>
      </c>
      <c r="D17" s="24" t="inlineStr">
        <is>
          <t>Negative</t>
        </is>
      </c>
      <c r="E17" s="19" t="inlineStr">
        <is>
          <t>High</t>
        </is>
      </c>
      <c r="F17" s="23" t="inlineStr">
        <is>
          <t>You are an Admin user on a company record.</t>
        </is>
      </c>
      <c r="G17" s="23" t="inlineStr">
        <is>
          <t>1. Look for any control that lets you add a product or quota manually.</t>
        </is>
      </c>
      <c r="H17" s="23" t="inlineStr">
        <is>
          <t>-</t>
        </is>
      </c>
      <c r="I17" s="23" t="inlineStr">
        <is>
          <t>There is no manual product picker.
Quota only ever comes from an issued invoice (or from an explicit, audited manual grant — if you find one, note who is allowed to use it).</t>
        </is>
      </c>
      <c r="J17" s="20" t="inlineStr"/>
      <c r="K17" s="21" t="inlineStr"/>
      <c r="L17" s="20" t="inlineStr"/>
      <c r="M17" s="21" t="inlineStr"/>
      <c r="N17" s="20" t="inlineStr"/>
    </row>
  </sheetData>
  <autoFilter ref="A3:N17"/>
  <mergeCells count="2">
    <mergeCell ref="A2:N2"/>
    <mergeCell ref="A1:N1"/>
  </mergeCells>
  <dataValidations count="1">
    <dataValidation sqref="K4:K17"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37"/>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AD-08 · Create and manage a job (Admin and Company site)</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AD-08-01</t>
        </is>
      </c>
      <c r="B4" s="6" t="inlineStr">
        <is>
          <t>Create job (Admin)</t>
        </is>
      </c>
      <c r="C4" s="6" t="inlineStr">
        <is>
          <t>HQ can post a job for any company</t>
        </is>
      </c>
      <c r="D4" s="18" t="inlineStr">
        <is>
          <t>Positive</t>
        </is>
      </c>
      <c r="E4" s="19" t="inlineStr">
        <is>
          <t>High</t>
        </is>
      </c>
      <c r="F4" s="6" t="inlineStr">
        <is>
          <t>You are signed in to Admin. Several companies exist.</t>
        </is>
      </c>
      <c r="G4" s="6" t="inlineStr">
        <is>
          <t>1. Go to Recruitment → Jobs → '+ New job'.
2. Search for a company in the company picker and choose it.
3. Fill the job and publish it.</t>
        </is>
      </c>
      <c r="H4" s="6" t="inlineStr">
        <is>
          <t>-</t>
        </is>
      </c>
      <c r="I4" s="6" t="inlineStr">
        <is>
          <t>Any company can be chosen from the picker.
The job is created against that company and goes live with NO approval step.</t>
        </is>
      </c>
      <c r="J4" s="20" t="inlineStr"/>
      <c r="K4" s="21" t="inlineStr"/>
      <c r="L4" s="20" t="inlineStr"/>
      <c r="M4" s="21" t="inlineStr"/>
      <c r="N4" s="20" t="inlineStr"/>
    </row>
    <row r="5" ht="67.5" customHeight="1">
      <c r="A5" s="22" t="inlineStr">
        <is>
          <t>AD-08-02</t>
        </is>
      </c>
      <c r="B5" s="23" t="inlineStr">
        <is>
          <t>Create job (Admin)</t>
        </is>
      </c>
      <c r="C5" s="23" t="inlineStr">
        <is>
          <t>The free tier needs no PO and has no limit</t>
        </is>
      </c>
      <c r="D5" s="18" t="inlineStr">
        <is>
          <t>Positive</t>
        </is>
      </c>
      <c r="E5" s="19" t="inlineStr">
        <is>
          <t>High</t>
        </is>
      </c>
      <c r="F5" s="23" t="inlineStr">
        <is>
          <t>A company has NO active PO at all.</t>
        </is>
      </c>
      <c r="G5" s="23" t="inlineStr">
        <is>
          <t>1. Create a job for it in Admin.
2. Leave the PO field empty.
3. Look at the product list.
4. Choose the free tier and publish.
5. Repeat 3 more times for the same company.</t>
        </is>
      </c>
      <c r="H5" s="23" t="inlineStr">
        <is>
          <t>-</t>
        </is>
      </c>
      <c r="I5" s="23" t="inlineStr">
        <is>
          <t>With no PO chosen, only the 'Always available' free tier appears.
It publishes with no PO and no quota check.
All four free jobs publish — there is no limit on the free tier.</t>
        </is>
      </c>
      <c r="J5" s="20" t="inlineStr"/>
      <c r="K5" s="21" t="inlineStr"/>
      <c r="L5" s="20" t="inlineStr"/>
      <c r="M5" s="21" t="inlineStr"/>
      <c r="N5" s="20" t="inlineStr"/>
    </row>
    <row r="6" ht="40.5" customHeight="1">
      <c r="A6" s="17" t="inlineStr">
        <is>
          <t>AD-08-03</t>
        </is>
      </c>
      <c r="B6" s="6" t="inlineStr">
        <is>
          <t>Create job (Admin)</t>
        </is>
      </c>
      <c r="C6" s="6" t="inlineStr">
        <is>
          <t>Choosing a PO first narrows the product list to that PO's lines</t>
        </is>
      </c>
      <c r="D6" s="18" t="inlineStr">
        <is>
          <t>Positive</t>
        </is>
      </c>
      <c r="E6" s="19" t="inlineStr">
        <is>
          <t>High</t>
        </is>
      </c>
      <c r="F6" s="6" t="inlineStr">
        <is>
          <t>A company has TWO active POs with different products on each.</t>
        </is>
      </c>
      <c r="G6" s="6" t="inlineStr">
        <is>
          <t>1. Create a job for that company.
2. Choose PO number 1 and open the product list.
3. Change to PO number 2 and open the product list again.</t>
        </is>
      </c>
      <c r="H6" s="6" t="inlineStr">
        <is>
          <t>Two POs with different products</t>
        </is>
      </c>
      <c r="I6" s="6" t="inlineStr">
        <is>
          <t>The product list shows only the lines of the PO you selected.
Changing the PO changes the products offered.
The filter is driven by what was actually bought, not by matching product names.</t>
        </is>
      </c>
      <c r="J6" s="20" t="inlineStr"/>
      <c r="K6" s="21" t="inlineStr"/>
      <c r="L6" s="20" t="inlineStr"/>
      <c r="M6" s="21" t="inlineStr"/>
      <c r="N6" s="20" t="inlineStr"/>
    </row>
    <row r="7" ht="28" customHeight="1">
      <c r="A7" s="22" t="inlineStr">
        <is>
          <t>AD-08-04</t>
        </is>
      </c>
      <c r="B7" s="23" t="inlineStr">
        <is>
          <t>Create job (Company)</t>
        </is>
      </c>
      <c r="C7" s="23" t="inlineStr">
        <is>
          <t>A company user can NEVER post a free job</t>
        </is>
      </c>
      <c r="D7" s="24" t="inlineStr">
        <is>
          <t>Negative</t>
        </is>
      </c>
      <c r="E7" s="19" t="inlineStr">
        <is>
          <t>High</t>
        </is>
      </c>
      <c r="F7" s="23" t="inlineStr">
        <is>
          <t>You are signed in to the Company site as an HR Manager, on a company that has bought products.</t>
        </is>
      </c>
      <c r="G7" s="23" t="inlineStr">
        <is>
          <t>1. Start creating a job.
2. Open the product / package list and read every option.</t>
        </is>
      </c>
      <c r="H7" s="23" t="inlineStr">
        <is>
          <t>-</t>
        </is>
      </c>
      <c r="I7" s="23" t="inlineStr">
        <is>
          <t>The free tier is not offered at all on the Company site.
Only products the company actually bought (active PO lines) appear.</t>
        </is>
      </c>
      <c r="J7" s="20" t="inlineStr"/>
      <c r="K7" s="21" t="inlineStr"/>
      <c r="L7" s="20" t="inlineStr"/>
      <c r="M7" s="21" t="inlineStr"/>
      <c r="N7" s="20" t="inlineStr"/>
    </row>
    <row r="8" ht="40.5" customHeight="1">
      <c r="A8" s="17" t="inlineStr">
        <is>
          <t>AD-08-05</t>
        </is>
      </c>
      <c r="B8" s="6" t="inlineStr">
        <is>
          <t>Create job (Company)</t>
        </is>
      </c>
      <c r="C8" s="6" t="inlineStr">
        <is>
          <t>The company is fixed to the user's own company</t>
        </is>
      </c>
      <c r="D8" s="24" t="inlineStr">
        <is>
          <t>Negative</t>
        </is>
      </c>
      <c r="E8" s="19" t="inlineStr">
        <is>
          <t>High</t>
        </is>
      </c>
      <c r="F8" s="6" t="inlineStr">
        <is>
          <t>You are signed in to the Company site.</t>
        </is>
      </c>
      <c r="G8" s="6" t="inlineStr">
        <is>
          <t>1. Start creating a job.
2. Look at the company field.
3. Try to change it.</t>
        </is>
      </c>
      <c r="H8" s="6" t="inlineStr">
        <is>
          <t>-</t>
        </is>
      </c>
      <c r="I8" s="6" t="inlineStr">
        <is>
          <t>The company is set to your own and cannot be changed.
There is no company picker on this surface.</t>
        </is>
      </c>
      <c r="J8" s="20" t="inlineStr"/>
      <c r="K8" s="21" t="inlineStr"/>
      <c r="L8" s="20" t="inlineStr"/>
      <c r="M8" s="21" t="inlineStr"/>
      <c r="N8" s="20" t="inlineStr"/>
    </row>
    <row r="9" ht="67.5" customHeight="1">
      <c r="A9" s="22" t="inlineStr">
        <is>
          <t>AD-08-06</t>
        </is>
      </c>
      <c r="B9" s="23" t="inlineStr">
        <is>
          <t>Create job</t>
        </is>
      </c>
      <c r="C9" s="23" t="inlineStr">
        <is>
          <t>Work type and contract type are TWO separate fields</t>
        </is>
      </c>
      <c r="D9" s="18" t="inlineStr">
        <is>
          <t>Positive</t>
        </is>
      </c>
      <c r="E9" s="19" t="inlineStr">
        <is>
          <t>High</t>
        </is>
      </c>
      <c r="F9" s="23" t="inlineStr">
        <is>
          <t>You are on the job form (either surface).</t>
        </is>
      </c>
      <c r="G9" s="23" t="inlineStr">
        <is>
          <t>1. Find the work type field and read its values.
2. Find the contract type field and read its values.
3. Set work type = remote AND contract type = fulltime.
4. Save.</t>
        </is>
      </c>
      <c r="H9" s="23" t="inlineStr">
        <is>
          <t>Remote + Fulltime</t>
        </is>
      </c>
      <c r="I9" s="23" t="inlineStr">
        <is>
          <t>There are TWO fields.
Work type has 4 values: in office, remote, hybrid, oversea (labelled 'Hình thức làm việc').
Contract type has 7: fulltime, part-time, contract, internship, probation, freelance, seasonal.
A full-time remote job can be described without losing either half.
Neither list has an 'Other' value.</t>
        </is>
      </c>
      <c r="J9" s="20" t="inlineStr"/>
      <c r="K9" s="21" t="inlineStr"/>
      <c r="L9" s="20" t="inlineStr"/>
      <c r="M9" s="21" t="inlineStr"/>
      <c r="N9" s="20" t="inlineStr"/>
    </row>
    <row r="10" ht="40.5" customHeight="1">
      <c r="A10" s="17" t="inlineStr">
        <is>
          <t>AD-08-07</t>
        </is>
      </c>
      <c r="B10" s="6" t="inlineStr">
        <is>
          <t>Create job</t>
        </is>
      </c>
      <c r="C10" s="6" t="inlineStr">
        <is>
          <t>Vietnamese content is required; English is optional and falls back</t>
        </is>
      </c>
      <c r="D10" s="24" t="inlineStr">
        <is>
          <t>Negative</t>
        </is>
      </c>
      <c r="E10" s="19" t="inlineStr">
        <is>
          <t>High</t>
        </is>
      </c>
      <c r="F10" s="6" t="inlineStr">
        <is>
          <t>You are on the job form.</t>
        </is>
      </c>
      <c r="G10" s="6" t="inlineStr">
        <is>
          <t>1. Fill the title, role &amp; responsibility and skills &amp; qualifications in the EN tab only. Try to publish.
2. Fill the VI tab and leave EN empty. Publish.
3. Open the job on the jobseeker site in English.</t>
        </is>
      </c>
      <c r="H10" s="6" t="inlineStr">
        <is>
          <t>-</t>
        </is>
      </c>
      <c r="I10" s="6" t="inlineStr">
        <is>
          <t>Publishing is refused while Vietnamese is missing.
It publishes with Vietnamese only.
On the jobseeker side, the Vietnamese text is shown where the English translation is missing.</t>
        </is>
      </c>
      <c r="J10" s="20" t="inlineStr"/>
      <c r="K10" s="21" t="inlineStr"/>
      <c r="L10" s="20" t="inlineStr"/>
      <c r="M10" s="21" t="inlineStr"/>
      <c r="N10" s="20" t="inlineStr"/>
    </row>
    <row r="11" ht="54" customHeight="1">
      <c r="A11" s="22" t="inlineStr">
        <is>
          <t>AD-08-08</t>
        </is>
      </c>
      <c r="B11" s="23" t="inlineStr">
        <is>
          <t>Create job</t>
        </is>
      </c>
      <c r="C11" s="23" t="inlineStr">
        <is>
          <t>Work locations are picked from the company office book, up to 3</t>
        </is>
      </c>
      <c r="D11" s="18" t="inlineStr">
        <is>
          <t>Positive</t>
        </is>
      </c>
      <c r="E11" s="19" t="inlineStr">
        <is>
          <t>High</t>
        </is>
      </c>
      <c r="F11" s="23" t="inlineStr">
        <is>
          <t>The company has 3 saved offices.</t>
        </is>
      </c>
      <c r="G11" s="23" t="inlineStr">
        <is>
          <t>1. Open the work locations field.
2. Pick 3 offices.
3. Try to pick a 4th.
4. Try to pick the same office twice.</t>
        </is>
      </c>
      <c r="H11" s="23" t="inlineStr">
        <is>
          <t>-</t>
        </is>
      </c>
      <c r="I11" s="23" t="inlineStr">
        <is>
          <t>The saved offices are offered as a list showing office name, city and address — you do not type an address.
Three can be picked.
The 4th is refused and the same office cannot be picked twice (blocked in the dropdown, not caught on save).</t>
        </is>
      </c>
      <c r="J11" s="20" t="inlineStr"/>
      <c r="K11" s="21" t="inlineStr"/>
      <c r="L11" s="20" t="inlineStr"/>
      <c r="M11" s="21" t="inlineStr"/>
      <c r="N11" s="20" t="inlineStr"/>
    </row>
    <row r="12" ht="54" customHeight="1">
      <c r="A12" s="17" t="inlineStr">
        <is>
          <t>AD-08-09</t>
        </is>
      </c>
      <c r="B12" s="6" t="inlineStr">
        <is>
          <t>Create job</t>
        </is>
      </c>
      <c r="C12" s="6" t="inlineStr">
        <is>
          <t>A new office can be created without leaving the job form</t>
        </is>
      </c>
      <c r="D12" s="18" t="inlineStr">
        <is>
          <t>Positive</t>
        </is>
      </c>
      <c r="E12" s="19" t="inlineStr">
        <is>
          <t>High</t>
        </is>
      </c>
      <c r="F12" s="6" t="inlineStr">
        <is>
          <t>You are half-way through filling a job form.</t>
        </is>
      </c>
      <c r="G12" s="6" t="inlineStr">
        <is>
          <t>1. In the work locations picker, click '＋ Create a new location'.
2. Fill office name, province and address in the modal.
3. Save it and pick it for this job.
4. Check the rest of the job form is still filled in.</t>
        </is>
      </c>
      <c r="H12" s="6" t="inlineStr">
        <is>
          <t>Name: Nhà máy Bình Dương</t>
        </is>
      </c>
      <c r="I12" s="6" t="inlineStr">
        <is>
          <t>The modal opens inline and the new office is saved on the COMPANY.
It can be picked immediately.
Nothing you already typed on the job form is lost.</t>
        </is>
      </c>
      <c r="J12" s="20" t="inlineStr"/>
      <c r="K12" s="21" t="inlineStr"/>
      <c r="L12" s="20" t="inlineStr"/>
      <c r="M12" s="21" t="inlineStr"/>
      <c r="N12" s="20" t="inlineStr"/>
    </row>
    <row r="13" ht="40.5" customHeight="1">
      <c r="A13" s="22" t="inlineStr">
        <is>
          <t>AD-08-10</t>
        </is>
      </c>
      <c r="B13" s="23" t="inlineStr">
        <is>
          <t>Create job</t>
        </is>
      </c>
      <c r="C13" s="23" t="inlineStr">
        <is>
          <t>The office modal blocks only an empty record and a duplicate name</t>
        </is>
      </c>
      <c r="D13" s="24" t="inlineStr">
        <is>
          <t>Negative</t>
        </is>
      </c>
      <c r="E13" s="25" t="inlineStr">
        <is>
          <t>Medium</t>
        </is>
      </c>
      <c r="F13" s="23" t="inlineStr">
        <is>
          <t>You are in the create-location modal. The company already has an office named 'Văn phòng'.</t>
        </is>
      </c>
      <c r="G13" s="23" t="inlineStr">
        <is>
          <t>1. Save with every field empty.
2. Save with only a province chosen (no name, no address).
3. Save a second office named 'Văn phòng'.</t>
        </is>
      </c>
      <c r="H13" s="23" t="inlineStr">
        <is>
          <t>-</t>
        </is>
      </c>
      <c r="I13" s="23" t="inlineStr">
        <is>
          <t>A completely empty record is refused.
An office with only a province SAVES — none of the three fields is required, and the modal shows no asterisks.
A duplicate NAME is refused, because the name is what tells two offices apart.</t>
        </is>
      </c>
      <c r="J13" s="20" t="inlineStr"/>
      <c r="K13" s="21" t="inlineStr"/>
      <c r="L13" s="20" t="inlineStr"/>
      <c r="M13" s="21" t="inlineStr"/>
      <c r="N13" s="20" t="inlineStr"/>
    </row>
    <row r="14" ht="28" customHeight="1">
      <c r="A14" s="17" t="inlineStr">
        <is>
          <t>AD-08-11</t>
        </is>
      </c>
      <c r="B14" s="6" t="inlineStr">
        <is>
          <t>Create job</t>
        </is>
      </c>
      <c r="C14" s="6" t="inlineStr">
        <is>
          <t>An office used by a live job cannot be hard-deleted</t>
        </is>
      </c>
      <c r="D14" s="24" t="inlineStr">
        <is>
          <t>Negative</t>
        </is>
      </c>
      <c r="E14" s="19" t="inlineStr">
        <is>
          <t>High</t>
        </is>
      </c>
      <c r="F14" s="6" t="inlineStr">
        <is>
          <t>An office is used by an Open job.</t>
        </is>
      </c>
      <c r="G14" s="6" t="inlineStr">
        <is>
          <t>1. Try to delete that office from the company's office book.</t>
        </is>
      </c>
      <c r="H14" s="6" t="inlineStr">
        <is>
          <t>-</t>
        </is>
      </c>
      <c r="I14" s="6" t="inlineStr">
        <is>
          <t>The delete is blocked (or the office is only hidden from the picker).
A published job must never end up pointing at nothing.</t>
        </is>
      </c>
      <c r="J14" s="20" t="inlineStr"/>
      <c r="K14" s="21" t="inlineStr"/>
      <c r="L14" s="20" t="inlineStr"/>
      <c r="M14" s="21" t="inlineStr"/>
      <c r="N14" s="20" t="inlineStr"/>
    </row>
    <row r="15" ht="54" customHeight="1">
      <c r="A15" s="22" t="inlineStr">
        <is>
          <t>AD-08-12</t>
        </is>
      </c>
      <c r="B15" s="23" t="inlineStr">
        <is>
          <t>Create job</t>
        </is>
      </c>
      <c r="C15" s="23" t="inlineStr">
        <is>
          <t>Benefits are picked from 12 fixed types, maximum 6</t>
        </is>
      </c>
      <c r="D15" s="18" t="inlineStr">
        <is>
          <t>Positive</t>
        </is>
      </c>
      <c r="E15" s="19" t="inlineStr">
        <is>
          <t>High</t>
        </is>
      </c>
      <c r="F15" s="23" t="inlineStr">
        <is>
          <t>You are on the job form's benefits section.</t>
        </is>
      </c>
      <c r="G15" s="23" t="inlineStr">
        <is>
          <t>1. Open the benefits picker and count the types.
2. Pick one and look at the description box.
3. Pick 6 in total, then try to pick a 7th.
4. Pick 'Khác' and see where it sorts.</t>
        </is>
      </c>
      <c r="H15" s="23" t="inlineStr">
        <is>
          <t>-</t>
        </is>
      </c>
      <c r="I15" s="23" t="inlineStr">
        <is>
          <t>There are 12 types shown in one grid — no accordion, no search box.
Picking one PRE-FILLS a suggested description you can edit.
Six can be picked; the 7th is refused.
'Khác' lets you type a title, has no icon and always sorts last.</t>
        </is>
      </c>
      <c r="J15" s="20" t="inlineStr"/>
      <c r="K15" s="21" t="inlineStr"/>
      <c r="L15" s="20" t="inlineStr"/>
      <c r="M15" s="21" t="inlineStr"/>
      <c r="N15" s="20" t="inlineStr"/>
    </row>
    <row r="16" ht="40.5" customHeight="1">
      <c r="A16" s="17" t="inlineStr">
        <is>
          <t>AD-08-13</t>
        </is>
      </c>
      <c r="B16" s="6" t="inlineStr">
        <is>
          <t>Create job</t>
        </is>
      </c>
      <c r="C16" s="6" t="inlineStr">
        <is>
          <t>The order you pick benefits is the order they display</t>
        </is>
      </c>
      <c r="D16" s="18" t="inlineStr">
        <is>
          <t>Positive</t>
        </is>
      </c>
      <c r="E16" s="25" t="inlineStr">
        <is>
          <t>Medium</t>
        </is>
      </c>
      <c r="F16" s="6" t="inlineStr">
        <is>
          <t>You are on the benefits section.</t>
        </is>
      </c>
      <c r="G16" s="6" t="inlineStr">
        <is>
          <t>1. Pick benefit A, then B, then C.
2. Publish the job.
3. Open it on the jobseeker site.</t>
        </is>
      </c>
      <c r="H16" s="6" t="inlineStr">
        <is>
          <t>-</t>
        </is>
      </c>
      <c r="I16" s="6" t="inlineStr">
        <is>
          <t>They appear in the order A, B, C — the employer can lead with their strongest benefit.</t>
        </is>
      </c>
      <c r="J16" s="20" t="inlineStr"/>
      <c r="K16" s="21" t="inlineStr"/>
      <c r="L16" s="20" t="inlineStr"/>
      <c r="M16" s="21" t="inlineStr"/>
      <c r="N16" s="20" t="inlineStr"/>
    </row>
    <row r="17" ht="40.5" customHeight="1">
      <c r="A17" s="22" t="inlineStr">
        <is>
          <t>AD-08-14</t>
        </is>
      </c>
      <c r="B17" s="23" t="inlineStr">
        <is>
          <t>Create job</t>
        </is>
      </c>
      <c r="C17" s="23" t="inlineStr">
        <is>
          <t>The company's general benefits are shown read-only on the job form</t>
        </is>
      </c>
      <c r="D17" s="18" t="inlineStr">
        <is>
          <t>Positive</t>
        </is>
      </c>
      <c r="E17" s="19" t="inlineStr">
        <is>
          <t>High</t>
        </is>
      </c>
      <c r="F17" s="23" t="inlineStr">
        <is>
          <t>The company page has general benefits set.</t>
        </is>
      </c>
      <c r="G17" s="23" t="inlineStr">
        <is>
          <t>1. Look at the benefits area of the job form.
2. Try to edit the company's benefits from here.</t>
        </is>
      </c>
      <c r="H17" s="23" t="inlineStr">
        <is>
          <t>-</t>
        </is>
      </c>
      <c r="I17" s="23" t="inlineStr">
        <is>
          <t>The job's own picker is labelled 'Phúc lợi riêng của vị trí này'.
The company's benefits are shown beside it READ-ONLY with a link to the company page.
They cannot be edited or overridden here.</t>
        </is>
      </c>
      <c r="J17" s="20" t="inlineStr"/>
      <c r="K17" s="21" t="inlineStr"/>
      <c r="L17" s="20" t="inlineStr"/>
      <c r="M17" s="21" t="inlineStr"/>
      <c r="N17" s="20" t="inlineStr"/>
    </row>
    <row r="18" ht="54" customHeight="1">
      <c r="A18" s="17" t="inlineStr">
        <is>
          <t>AD-08-15</t>
        </is>
      </c>
      <c r="B18" s="6" t="inlineStr">
        <is>
          <t>Create job</t>
        </is>
      </c>
      <c r="C18" s="6" t="inlineStr">
        <is>
          <t>Skills are chosen from the master list only, up to 10</t>
        </is>
      </c>
      <c r="D18" s="24" t="inlineStr">
        <is>
          <t>Negative</t>
        </is>
      </c>
      <c r="E18" s="19" t="inlineStr">
        <is>
          <t>High</t>
        </is>
      </c>
      <c r="F18" s="6" t="inlineStr">
        <is>
          <t>You are on the job form's skills field.</t>
        </is>
      </c>
      <c r="G18" s="6" t="inlineStr">
        <is>
          <t>1. Start typing a real skill and pick it from the autocomplete.
2. Type a made-up word and try to save it as a skill.
3. Add 10 skills, then try an 11th.
4. Read the pool line under the field.</t>
        </is>
      </c>
      <c r="H18" s="6" t="inlineStr">
        <is>
          <t>-</t>
        </is>
      </c>
      <c r="I18" s="6" t="inlineStr">
        <is>
          <t>Only skills from the master list can be added — free text is not stored.
Ten can be added; the 11th is refused.
A live pool line shows roughly how many candidates have all of these — it is informational and never blocks publishing.</t>
        </is>
      </c>
      <c r="J18" s="20" t="inlineStr"/>
      <c r="K18" s="21" t="inlineStr"/>
      <c r="L18" s="20" t="inlineStr"/>
      <c r="M18" s="21" t="inlineStr"/>
      <c r="N18" s="20" t="inlineStr"/>
    </row>
    <row r="19" ht="40.5" customHeight="1">
      <c r="A19" s="22" t="inlineStr">
        <is>
          <t>AD-08-16</t>
        </is>
      </c>
      <c r="B19" s="23" t="inlineStr">
        <is>
          <t>Create job</t>
        </is>
      </c>
      <c r="C19" s="23" t="inlineStr">
        <is>
          <t>Skill suggestions are never added by themselves</t>
        </is>
      </c>
      <c r="D19" s="24" t="inlineStr">
        <is>
          <t>Negative</t>
        </is>
      </c>
      <c r="E19" s="19" t="inlineStr">
        <is>
          <t>High</t>
        </is>
      </c>
      <c r="F19" s="23" t="inlineStr">
        <is>
          <t>You picked a job role, so suggestion chips appear.</t>
        </is>
      </c>
      <c r="G19" s="23" t="inlineStr">
        <is>
          <t>1. Note the suggested skills.
2. Publish WITHOUT tapping any of them.
3. Re-open the job and read its skill list.</t>
        </is>
      </c>
      <c r="H19" s="23" t="inlineStr">
        <is>
          <t>-</t>
        </is>
      </c>
      <c r="I19" s="23" t="inlineStr">
        <is>
          <t>None of the suggestions was added.
Each one needs its own tap.
Essential skills render before optional ones.</t>
        </is>
      </c>
      <c r="J19" s="20" t="inlineStr"/>
      <c r="K19" s="21" t="inlineStr"/>
      <c r="L19" s="20" t="inlineStr"/>
      <c r="M19" s="21" t="inlineStr"/>
      <c r="N19" s="20" t="inlineStr"/>
    </row>
    <row r="20" ht="40.5" customHeight="1">
      <c r="A20" s="17" t="inlineStr">
        <is>
          <t>AD-08-17</t>
        </is>
      </c>
      <c r="B20" s="6" t="inlineStr">
        <is>
          <t>Create job</t>
        </is>
      </c>
      <c r="C20" s="6" t="inlineStr">
        <is>
          <t>Salary can be negotiable, or a range that must make sense</t>
        </is>
      </c>
      <c r="D20" s="24" t="inlineStr">
        <is>
          <t>Negative</t>
        </is>
      </c>
      <c r="E20" s="19" t="inlineStr">
        <is>
          <t>High</t>
        </is>
      </c>
      <c r="F20" s="6" t="inlineStr">
        <is>
          <t>You are on the job form.</t>
        </is>
      </c>
      <c r="G20" s="6" t="inlineStr">
        <is>
          <t>1. Choose 'Thỏa thuận' (negotiable) and publish.
2. On another job choose a range and set min 20,000,000 and max 10,000,000. Publish.
3. Fix it to min 10,000,000 / max 20,000,000 and publish.</t>
        </is>
      </c>
      <c r="H20" s="6" t="inlineStr">
        <is>
          <t>-</t>
        </is>
      </c>
      <c r="I20" s="6" t="inlineStr">
        <is>
          <t>The negotiable job publishes and shows 'Thỏa thuận' everywhere on the jobseeker side.
The backwards range is refused.
The correct range publishes.</t>
        </is>
      </c>
      <c r="J20" s="20" t="inlineStr"/>
      <c r="K20" s="21" t="inlineStr"/>
      <c r="L20" s="20" t="inlineStr"/>
      <c r="M20" s="21" t="inlineStr"/>
      <c r="N20" s="20" t="inlineStr"/>
    </row>
    <row r="21" ht="28" customHeight="1">
      <c r="A21" s="22" t="inlineStr">
        <is>
          <t>AD-08-18</t>
        </is>
      </c>
      <c r="B21" s="23" t="inlineStr">
        <is>
          <t>Create job</t>
        </is>
      </c>
      <c r="C21" s="23" t="inlineStr">
        <is>
          <t>The experience range must make sense too</t>
        </is>
      </c>
      <c r="D21" s="24" t="inlineStr">
        <is>
          <t>Negative</t>
        </is>
      </c>
      <c r="E21" s="25" t="inlineStr">
        <is>
          <t>Medium</t>
        </is>
      </c>
      <c r="F21" s="23" t="inlineStr">
        <is>
          <t>You are on the job form.</t>
        </is>
      </c>
      <c r="G21" s="23" t="inlineStr">
        <is>
          <t>1. Set experience from 5 to 2 and publish.
2. Fix it to from 2 to 5 and publish.</t>
        </is>
      </c>
      <c r="H21" s="23" t="inlineStr">
        <is>
          <t>-</t>
        </is>
      </c>
      <c r="I21" s="23" t="inlineStr">
        <is>
          <t>The backwards range is refused; the correct one publishes.</t>
        </is>
      </c>
      <c r="J21" s="20" t="inlineStr"/>
      <c r="K21" s="21" t="inlineStr"/>
      <c r="L21" s="20" t="inlineStr"/>
      <c r="M21" s="21" t="inlineStr"/>
      <c r="N21" s="20" t="inlineStr"/>
    </row>
    <row r="22" ht="28" customHeight="1">
      <c r="A22" s="17" t="inlineStr">
        <is>
          <t>AD-08-19</t>
        </is>
      </c>
      <c r="B22" s="6" t="inlineStr">
        <is>
          <t>Create job</t>
        </is>
      </c>
      <c r="C22" s="6" t="inlineStr">
        <is>
          <t>The deadline comes from the product and must be in the future</t>
        </is>
      </c>
      <c r="D22" s="24" t="inlineStr">
        <is>
          <t>Negative</t>
        </is>
      </c>
      <c r="E22" s="19" t="inlineStr">
        <is>
          <t>High</t>
        </is>
      </c>
      <c r="F22" s="6" t="inlineStr">
        <is>
          <t>You are on the job form.</t>
        </is>
      </c>
      <c r="G22" s="6" t="inlineStr">
        <is>
          <t>1. Choose a product with a 30-day duration and look at the deadline.
2. Try to set a deadline in the past and publish.</t>
        </is>
      </c>
      <c r="H22" s="6" t="inlineStr">
        <is>
          <t>-</t>
        </is>
      </c>
      <c r="I22" s="6" t="inlineStr">
        <is>
          <t>The deadline is derived from the product's duration, not typed freely.
A past deadline cannot be published.</t>
        </is>
      </c>
      <c r="J22" s="20" t="inlineStr"/>
      <c r="K22" s="21" t="inlineStr"/>
      <c r="L22" s="20" t="inlineStr"/>
      <c r="M22" s="21" t="inlineStr"/>
      <c r="N22" s="20" t="inlineStr"/>
    </row>
    <row r="23" ht="40.5" customHeight="1">
      <c r="A23" s="22" t="inlineStr">
        <is>
          <t>AD-08-20</t>
        </is>
      </c>
      <c r="B23" s="23" t="inlineStr">
        <is>
          <t>Create job</t>
        </is>
      </c>
      <c r="C23" s="23" t="inlineStr">
        <is>
          <t>Save as draft any time; validation runs on publish</t>
        </is>
      </c>
      <c r="D23" s="18" t="inlineStr">
        <is>
          <t>Positive</t>
        </is>
      </c>
      <c r="E23" s="19" t="inlineStr">
        <is>
          <t>High</t>
        </is>
      </c>
      <c r="F23" s="23" t="inlineStr">
        <is>
          <t>You are on the job form with only a title filled in.</t>
        </is>
      </c>
      <c r="G23" s="23" t="inlineStr">
        <is>
          <t>1. Click Save as draft.
2. Re-open the draft.
3. Click Publish.</t>
        </is>
      </c>
      <c r="H23" s="23" t="inlineStr">
        <is>
          <t>-</t>
        </is>
      </c>
      <c r="I23" s="23" t="inlineStr">
        <is>
          <t>The draft saves with nothing else filled in.
All the missing-field errors only appear when you press Publish.</t>
        </is>
      </c>
      <c r="J23" s="20" t="inlineStr"/>
      <c r="K23" s="21" t="inlineStr"/>
      <c r="L23" s="20" t="inlineStr"/>
      <c r="M23" s="21" t="inlineStr"/>
      <c r="N23" s="20" t="inlineStr"/>
    </row>
    <row r="24" ht="54" customHeight="1">
      <c r="A24" s="17" t="inlineStr">
        <is>
          <t>AD-08-21</t>
        </is>
      </c>
      <c r="B24" s="6" t="inlineStr">
        <is>
          <t>Publish</t>
        </is>
      </c>
      <c r="C24" s="6" t="inlineStr">
        <is>
          <t>Publish offers 'Post now' and 'Schedule for later'</t>
        </is>
      </c>
      <c r="D24" s="18" t="inlineStr">
        <is>
          <t>Positive</t>
        </is>
      </c>
      <c r="E24" s="19" t="inlineStr">
        <is>
          <t>High</t>
        </is>
      </c>
      <c r="F24" s="6" t="inlineStr">
        <is>
          <t>You have a complete job form.</t>
        </is>
      </c>
      <c r="G24" s="6" t="inlineStr">
        <is>
          <t>1. Click Publish and read the choices.
2. Choose 'Schedule for later' and pick a time a few minutes away.
3. Check the status.
4. Wait for that time and refresh.</t>
        </is>
      </c>
      <c r="H24" s="6" t="inlineStr">
        <is>
          <t>-</t>
        </is>
      </c>
      <c r="I24" s="6" t="inlineStr">
        <is>
          <t>Two choices are offered.
'Schedule for later' sets the status to Schedule with the chosen time.
At that time it becomes Open by itself, with nobody pressing anything.</t>
        </is>
      </c>
      <c r="J24" s="20" t="inlineStr"/>
      <c r="K24" s="21" t="inlineStr"/>
      <c r="L24" s="20" t="inlineStr"/>
      <c r="M24" s="21" t="inlineStr"/>
      <c r="N24" s="20" t="inlineStr"/>
    </row>
    <row r="25" ht="40.5" customHeight="1">
      <c r="A25" s="22" t="inlineStr">
        <is>
          <t>AD-08-22</t>
        </is>
      </c>
      <c r="B25" s="23" t="inlineStr">
        <is>
          <t>Exposure</t>
        </is>
      </c>
      <c r="C25" s="23" t="inlineStr">
        <is>
          <t>Exposure is a separate switch that does not change the status</t>
        </is>
      </c>
      <c r="D25" s="18" t="inlineStr">
        <is>
          <t>Positive</t>
        </is>
      </c>
      <c r="E25" s="19" t="inlineStr">
        <is>
          <t>High</t>
        </is>
      </c>
      <c r="F25" s="23" t="inlineStr">
        <is>
          <t>You have an Open job with Exposure On.</t>
        </is>
      </c>
      <c r="G25" s="23" t="inlineStr">
        <is>
          <t>1. Switch Exposure to Off.
2. Check the STATUS in the job list.
3. Look at the exposure cell on a Draft, a Scheduled and a Closed job.</t>
        </is>
      </c>
      <c r="H25" s="23" t="inlineStr">
        <is>
          <t>-</t>
        </is>
      </c>
      <c r="I25" s="23" t="inlineStr">
        <is>
          <t>The status stays Open — only exposure changed.
On Draft, Schedule and Closed jobs the exposure cell shows '—' and the toggle is inert.</t>
        </is>
      </c>
      <c r="J25" s="20" t="inlineStr"/>
      <c r="K25" s="21" t="inlineStr"/>
      <c r="L25" s="20" t="inlineStr"/>
      <c r="M25" s="21" t="inlineStr"/>
      <c r="N25" s="20" t="inlineStr"/>
    </row>
    <row r="26" ht="54" customHeight="1">
      <c r="A26" s="17" t="inlineStr">
        <is>
          <t>AD-08-23</t>
        </is>
      </c>
      <c r="B26" s="6" t="inlineStr">
        <is>
          <t>Title lock</t>
        </is>
      </c>
      <c r="C26" s="6" t="inlineStr">
        <is>
          <t>The employer can edit everything on a live job EXCEPT the title after 72 hours</t>
        </is>
      </c>
      <c r="D26" s="26" t="inlineStr">
        <is>
          <t>Edge</t>
        </is>
      </c>
      <c r="E26" s="19" t="inlineStr">
        <is>
          <t>High</t>
        </is>
      </c>
      <c r="F26" s="6" t="inlineStr">
        <is>
          <t>A job published more than 72 hours ago (ask a developer to back-date publishedAt).</t>
        </is>
      </c>
      <c r="G26" s="6" t="inlineStr">
        <is>
          <t>1. Sign in to the Company site and open the job.
2. Try to edit the title.
3. Edit the description, salary, skills, benefits and deadline. Save.
4. Check the job is still Open.</t>
        </is>
      </c>
      <c r="H26" s="6" t="inlineStr">
        <is>
          <t>publishedAt = 4 days ago</t>
        </is>
      </c>
      <c r="I26" s="6" t="inlineStr">
        <is>
          <t>The title is read-only, with a reason shown ('Tiêu đề đã khoá — tin đã đăng hơn 72 giờ') — not a greyed box with no explanation.
Everything else edits freely and the job stays Open.</t>
        </is>
      </c>
      <c r="J26" s="20" t="inlineStr"/>
      <c r="K26" s="21" t="inlineStr"/>
      <c r="L26" s="20" t="inlineStr"/>
      <c r="M26" s="21" t="inlineStr"/>
      <c r="N26" s="20" t="inlineStr"/>
    </row>
    <row r="27" ht="40.5" customHeight="1">
      <c r="A27" s="22" t="inlineStr">
        <is>
          <t>AD-08-24</t>
        </is>
      </c>
      <c r="B27" s="23" t="inlineStr">
        <is>
          <t>Title lock</t>
        </is>
      </c>
      <c r="C27" s="23" t="inlineStr">
        <is>
          <t>Inside the 72 hours the title is editable and a countdown is shown</t>
        </is>
      </c>
      <c r="D27" s="26" t="inlineStr">
        <is>
          <t>Edge</t>
        </is>
      </c>
      <c r="E27" s="19" t="inlineStr">
        <is>
          <t>High</t>
        </is>
      </c>
      <c r="F27" s="23" t="inlineStr">
        <is>
          <t>A job published a few hours ago.</t>
        </is>
      </c>
      <c r="G27" s="23" t="inlineStr">
        <is>
          <t>1. Open it on the Company site.
2. Look at the title field.
3. Change the title and save.</t>
        </is>
      </c>
      <c r="H27" s="23" t="inlineStr">
        <is>
          <t>publishedAt = 3 hours ago</t>
        </is>
      </c>
      <c r="I27" s="23" t="inlineStr">
        <is>
          <t>The title CAN be edited and the remaining window is shown in hours (for example 'Còn 8 giờ để sửa tiêu đề').
The change saves.</t>
        </is>
      </c>
      <c r="J27" s="20" t="inlineStr"/>
      <c r="K27" s="21" t="inlineStr"/>
      <c r="L27" s="20" t="inlineStr"/>
      <c r="M27" s="21" t="inlineStr"/>
      <c r="N27" s="20" t="inlineStr"/>
    </row>
    <row r="28" ht="40.5" customHeight="1">
      <c r="A28" s="17" t="inlineStr">
        <is>
          <t>AD-08-25</t>
        </is>
      </c>
      <c r="B28" s="6" t="inlineStr">
        <is>
          <t>Title lock</t>
        </is>
      </c>
      <c r="C28" s="6" t="inlineStr">
        <is>
          <t>The lock is counted in HOURS, not calendar days</t>
        </is>
      </c>
      <c r="D28" s="26" t="inlineStr">
        <is>
          <t>Edge</t>
        </is>
      </c>
      <c r="E28" s="19" t="inlineStr">
        <is>
          <t>High</t>
        </is>
      </c>
      <c r="F28" s="6" t="inlineStr">
        <is>
          <t>A job published at 17:00 on a Monday (back-date it).</t>
        </is>
      </c>
      <c r="G28" s="6" t="inlineStr">
        <is>
          <t>1. At 10:00 on the Thursday, try to edit the title.
2. At 18:00 on the Thursday, try again.</t>
        </is>
      </c>
      <c r="H28" s="6" t="inlineStr">
        <is>
          <t>Published Monday 17:00</t>
        </is>
      </c>
      <c r="I28" s="6" t="inlineStr">
        <is>
          <t>At 10:00 Thursday the title is still editable (only 65 hours have passed).
At 18:00 Thursday it is locked (73 hours).
If it locked at midnight on Wednesday, the code is truncating to a date — mark Fail.</t>
        </is>
      </c>
      <c r="J28" s="20" t="inlineStr"/>
      <c r="K28" s="21" t="inlineStr"/>
      <c r="L28" s="20" t="inlineStr"/>
      <c r="M28" s="21" t="inlineStr"/>
      <c r="N28" s="20" t="inlineStr"/>
    </row>
    <row r="29" ht="40.5" customHeight="1">
      <c r="A29" s="22" t="inlineStr">
        <is>
          <t>AD-08-26</t>
        </is>
      </c>
      <c r="B29" s="23" t="inlineStr">
        <is>
          <t>Title lock</t>
        </is>
      </c>
      <c r="C29" s="23" t="inlineStr">
        <is>
          <t>HQ Admin has no title time limit</t>
        </is>
      </c>
      <c r="D29" s="18" t="inlineStr">
        <is>
          <t>Positive</t>
        </is>
      </c>
      <c r="E29" s="19" t="inlineStr">
        <is>
          <t>High</t>
        </is>
      </c>
      <c r="F29" s="23" t="inlineStr">
        <is>
          <t>A job published 10 days ago.</t>
        </is>
      </c>
      <c r="G29" s="23" t="inlineStr">
        <is>
          <t>1. Sign in to ADMIN and open that job.
2. Change the title and save.
3. Open the audit history.</t>
        </is>
      </c>
      <c r="H29" s="23" t="inlineStr">
        <is>
          <t>-</t>
        </is>
      </c>
      <c r="I29" s="23" t="inlineStr">
        <is>
          <t>HQ can change the title with no limit — correcting a bad posting is the point of the Admin screen.
The change is audited with the before and after values.</t>
        </is>
      </c>
      <c r="J29" s="20" t="inlineStr"/>
      <c r="K29" s="21" t="inlineStr"/>
      <c r="L29" s="20" t="inlineStr"/>
      <c r="M29" s="21" t="inlineStr"/>
      <c r="N29" s="20" t="inlineStr"/>
    </row>
    <row r="30" ht="28" customHeight="1">
      <c r="A30" s="17" t="inlineStr">
        <is>
          <t>AD-08-27</t>
        </is>
      </c>
      <c r="B30" s="6" t="inlineStr">
        <is>
          <t>Title lock</t>
        </is>
      </c>
      <c r="C30" s="6" t="inlineStr">
        <is>
          <t>A scheduled job starts its 72 hours when it actually goes live</t>
        </is>
      </c>
      <c r="D30" s="26" t="inlineStr">
        <is>
          <t>Edge</t>
        </is>
      </c>
      <c r="E30" s="25" t="inlineStr">
        <is>
          <t>Medium</t>
        </is>
      </c>
      <c r="F30" s="6" t="inlineStr">
        <is>
          <t>A job was scheduled 5 days ago and auto-published 1 hour ago.</t>
        </is>
      </c>
      <c r="G30" s="6" t="inlineStr">
        <is>
          <t>1. Open it on the Company site and try to edit the title.</t>
        </is>
      </c>
      <c r="H30" s="6" t="inlineStr">
        <is>
          <t>-</t>
        </is>
      </c>
      <c r="I30" s="6" t="inlineStr">
        <is>
          <t>The title is editable — the clock started at the auto-publish, not when it was scheduled.</t>
        </is>
      </c>
      <c r="J30" s="20" t="inlineStr"/>
      <c r="K30" s="21" t="inlineStr"/>
      <c r="L30" s="20" t="inlineStr"/>
      <c r="M30" s="21" t="inlineStr"/>
      <c r="N30" s="20" t="inlineStr"/>
    </row>
    <row r="31" ht="40.5" customHeight="1">
      <c r="A31" s="22" t="inlineStr">
        <is>
          <t>AD-08-28</t>
        </is>
      </c>
      <c r="B31" s="23" t="inlineStr">
        <is>
          <t>Job list (Admin)</t>
        </is>
      </c>
      <c r="C31" s="23" t="inlineStr">
        <is>
          <t>The Admin job list shows every column and the tab counts are right</t>
        </is>
      </c>
      <c r="D31" s="18" t="inlineStr">
        <is>
          <t>Positive</t>
        </is>
      </c>
      <c r="E31" s="19" t="inlineStr">
        <is>
          <t>High</t>
        </is>
      </c>
      <c r="F31" s="23" t="inlineStr">
        <is>
          <t>There are jobs in several statuses.</t>
        </is>
      </c>
      <c r="G31" s="23" t="inlineStr">
        <is>
          <t>1. Read the columns.
2. Read the tab counts (All, Draft, Schedule, Open, Closed).
3. Click each tab and count the rows.</t>
        </is>
      </c>
      <c r="H31" s="23" t="inlineStr">
        <is>
          <t>-</t>
        </is>
      </c>
      <c r="I31" s="23" t="inlineStr">
        <is>
          <t>Columns: job title, job ID, category, company, product, created by (Company / Admin), status, exposure, posted, expires, views, saves, applied.
Each tab's count equals the number of rows it returns.</t>
        </is>
      </c>
      <c r="J31" s="20" t="inlineStr"/>
      <c r="K31" s="21" t="inlineStr"/>
      <c r="L31" s="20" t="inlineStr"/>
      <c r="M31" s="21" t="inlineStr"/>
      <c r="N31" s="20" t="inlineStr"/>
    </row>
    <row r="32" ht="28" customHeight="1">
      <c r="A32" s="17" t="inlineStr">
        <is>
          <t>AD-08-29</t>
        </is>
      </c>
      <c r="B32" s="6" t="inlineStr">
        <is>
          <t>Job list (Admin)</t>
        </is>
      </c>
      <c r="C32" s="6" t="inlineStr">
        <is>
          <t>'Applied' opens the applicants for that job</t>
        </is>
      </c>
      <c r="D32" s="18" t="inlineStr">
        <is>
          <t>Positive</t>
        </is>
      </c>
      <c r="E32" s="25" t="inlineStr">
        <is>
          <t>Medium</t>
        </is>
      </c>
      <c r="F32" s="6" t="inlineStr">
        <is>
          <t>A job has applications.</t>
        </is>
      </c>
      <c r="G32" s="6" t="inlineStr">
        <is>
          <t>1. Click the number in the Applied column.</t>
        </is>
      </c>
      <c r="H32" s="6" t="inlineStr">
        <is>
          <t>-</t>
        </is>
      </c>
      <c r="I32" s="6" t="inlineStr">
        <is>
          <t>The Applicants board opens filtered to that job.</t>
        </is>
      </c>
      <c r="J32" s="20" t="inlineStr"/>
      <c r="K32" s="21" t="inlineStr"/>
      <c r="L32" s="20" t="inlineStr"/>
      <c r="M32" s="21" t="inlineStr"/>
      <c r="N32" s="20" t="inlineStr"/>
    </row>
    <row r="33" ht="67.5" customHeight="1">
      <c r="A33" s="22" t="inlineStr">
        <is>
          <t>AD-08-30</t>
        </is>
      </c>
      <c r="B33" s="23" t="inlineStr">
        <is>
          <t>Job list (Admin)</t>
        </is>
      </c>
      <c r="C33" s="23" t="inlineStr">
        <is>
          <t>The 'Saved by' panel is treated as candidate data</t>
        </is>
      </c>
      <c r="D33" s="24" t="inlineStr">
        <is>
          <t>Negative</t>
        </is>
      </c>
      <c r="E33" s="19" t="inlineStr">
        <is>
          <t>High</t>
        </is>
      </c>
      <c r="F33" s="23" t="inlineStr">
        <is>
          <t>A job has been saved by some jobseekers. You have a low-permission Admin user available.</t>
        </is>
      </c>
      <c r="G33" s="23" t="inlineStr">
        <is>
          <t>1. Open the job detail and find the 'Saved by' panel.
2. Read one row.
3. Open a saver's profile.
4. Check the audit log.
5. Sign in as the low-permission user and open the same panel.</t>
        </is>
      </c>
      <c r="H33" s="23" t="inlineStr">
        <is>
          <t>-</t>
        </is>
      </c>
      <c r="I33" s="23" t="inlineStr">
        <is>
          <t>Each row shows name, current title, years, location, when they saved it and whether they also applied.
Opening a saver's profile writes an audit entry.
The low-permission user cannot see the panel — it is gated by the same permission as candidate viewing.
A save is never handed to the company as a contactable lead.</t>
        </is>
      </c>
      <c r="J33" s="20" t="inlineStr"/>
      <c r="K33" s="21" t="inlineStr"/>
      <c r="L33" s="20" t="inlineStr"/>
      <c r="M33" s="21" t="inlineStr"/>
      <c r="N33" s="20" t="inlineStr"/>
    </row>
    <row r="34" ht="40.5" customHeight="1">
      <c r="A34" s="17" t="inlineStr">
        <is>
          <t>AD-08-31</t>
        </is>
      </c>
      <c r="B34" s="6" t="inlineStr">
        <is>
          <t>Auto close</t>
        </is>
      </c>
      <c r="C34" s="6" t="inlineStr">
        <is>
          <t>An Open job closes by itself at its deadline</t>
        </is>
      </c>
      <c r="D34" s="26" t="inlineStr">
        <is>
          <t>Edge</t>
        </is>
      </c>
      <c r="E34" s="19" t="inlineStr">
        <is>
          <t>High</t>
        </is>
      </c>
      <c r="F34" s="6" t="inlineStr">
        <is>
          <t>An Open job whose deadline is today (or move the server date).</t>
        </is>
      </c>
      <c r="G34" s="6" t="inlineStr">
        <is>
          <t>1. Let the deadline pass.
2. Check the job's status in Admin.
3. Open it on the jobseeker site.</t>
        </is>
      </c>
      <c r="H34" s="6" t="inlineStr">
        <is>
          <t>-</t>
        </is>
      </c>
      <c r="I34" s="6" t="inlineStr">
        <is>
          <t>The status becomes Closed automatically.
On the jobseeker site it shows a notice and Apply is disabled.</t>
        </is>
      </c>
      <c r="J34" s="20" t="inlineStr"/>
      <c r="K34" s="21" t="inlineStr"/>
      <c r="L34" s="20" t="inlineStr"/>
      <c r="M34" s="21" t="inlineStr"/>
      <c r="N34" s="20" t="inlineStr"/>
    </row>
    <row r="35" ht="40.5" customHeight="1">
      <c r="A35" s="22" t="inlineStr">
        <is>
          <t>AD-08-32</t>
        </is>
      </c>
      <c r="B35" s="23" t="inlineStr">
        <is>
          <t>Job list (Company)</t>
        </is>
      </c>
      <c r="C35" s="23" t="inlineStr">
        <is>
          <t>A company sees only its own jobs</t>
        </is>
      </c>
      <c r="D35" s="24" t="inlineStr">
        <is>
          <t>Negative</t>
        </is>
      </c>
      <c r="E35" s="19" t="inlineStr">
        <is>
          <t>High</t>
        </is>
      </c>
      <c r="F35" s="23" t="inlineStr">
        <is>
          <t>Two companies each have jobs. You have a login for company A.</t>
        </is>
      </c>
      <c r="G35" s="23" t="inlineStr">
        <is>
          <t>1. Sign in as company A and list the jobs.
2. Ask a developer for a job id belonging to company B.
3. Open that id's URL, and ask a developer to call the edit endpoint for it as company A.</t>
        </is>
      </c>
      <c r="H35" s="23" t="inlineStr">
        <is>
          <t>A job id from company B</t>
        </is>
      </c>
      <c r="I35" s="23" t="inlineStr">
        <is>
          <t>Only company A's jobs are listed.
Company B's job cannot be opened or edited, from the screen or from the API.</t>
        </is>
      </c>
      <c r="J35" s="20" t="inlineStr"/>
      <c r="K35" s="21" t="inlineStr"/>
      <c r="L35" s="20" t="inlineStr"/>
      <c r="M35" s="21" t="inlineStr"/>
      <c r="N35" s="20" t="inlineStr"/>
    </row>
    <row r="36" ht="40.5" customHeight="1">
      <c r="A36" s="17" t="inlineStr">
        <is>
          <t>AD-08-33</t>
        </is>
      </c>
      <c r="B36" s="6" t="inlineStr">
        <is>
          <t>Roles</t>
        </is>
      </c>
      <c r="C36" s="6" t="inlineStr">
        <is>
          <t>Only HR Manager / HR Specialist can create a job</t>
        </is>
      </c>
      <c r="D36" s="24" t="inlineStr">
        <is>
          <t>Negative</t>
        </is>
      </c>
      <c r="E36" s="19" t="inlineStr">
        <is>
          <t>High</t>
        </is>
      </c>
      <c r="F36" s="6" t="inlineStr">
        <is>
          <t>The company has a user with a Viewer-type role.</t>
        </is>
      </c>
      <c r="G36" s="6" t="inlineStr">
        <is>
          <t>1. Sign in as the Viewer.
2. Look for the Create job action.
3. Ask a developer to POST to the create-job endpoint as that user.</t>
        </is>
      </c>
      <c r="H36" s="6" t="inlineStr">
        <is>
          <t>-</t>
        </is>
      </c>
      <c r="I36" s="6" t="inlineStr">
        <is>
          <t>The action is not available and the API refuses it.</t>
        </is>
      </c>
      <c r="J36" s="20" t="inlineStr"/>
      <c r="K36" s="21" t="inlineStr"/>
      <c r="L36" s="20" t="inlineStr"/>
      <c r="M36" s="21" t="inlineStr"/>
      <c r="N36" s="20" t="inlineStr"/>
    </row>
    <row r="37" ht="28" customHeight="1">
      <c r="A37" s="22" t="inlineStr">
        <is>
          <t>AD-08-34</t>
        </is>
      </c>
      <c r="B37" s="23" t="inlineStr">
        <is>
          <t>Duplicate</t>
        </is>
      </c>
      <c r="C37" s="23" t="inlineStr">
        <is>
          <t>Duplicate copies a job into a new DRAFT</t>
        </is>
      </c>
      <c r="D37" s="18" t="inlineStr">
        <is>
          <t>Positive</t>
        </is>
      </c>
      <c r="E37" s="25" t="inlineStr">
        <is>
          <t>Medium</t>
        </is>
      </c>
      <c r="F37" s="23" t="inlineStr">
        <is>
          <t>You are on a job detail page in Admin.</t>
        </is>
      </c>
      <c r="G37" s="23" t="inlineStr">
        <is>
          <t>1. Click Duplicate.
2. Look at the new record's status and content.</t>
        </is>
      </c>
      <c r="H37" s="23" t="inlineStr">
        <is>
          <t>-</t>
        </is>
      </c>
      <c r="I37" s="23" t="inlineStr">
        <is>
          <t>A new job is created as a DRAFT (never a live copy) with the content copied.
You publish it deliberately.</t>
        </is>
      </c>
      <c r="J37" s="20" t="inlineStr"/>
      <c r="K37" s="21" t="inlineStr"/>
      <c r="L37" s="20" t="inlineStr"/>
      <c r="M37" s="21" t="inlineStr"/>
      <c r="N37" s="20" t="inlineStr"/>
    </row>
  </sheetData>
  <autoFilter ref="A3:N37"/>
  <mergeCells count="2">
    <mergeCell ref="A2:N2"/>
    <mergeCell ref="A1:N1"/>
  </mergeCells>
  <dataValidations count="1">
    <dataValidation sqref="K4:K37"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N19"/>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AD-09 · The job showing on the jobseeker Homepage, Search and Job detail</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AD-09-01</t>
        </is>
      </c>
      <c r="B4" s="6" t="inlineStr">
        <is>
          <t>Job goes live</t>
        </is>
      </c>
      <c r="C4" s="6" t="inlineStr">
        <is>
          <t>A newly published job appears on the jobseeker homepage</t>
        </is>
      </c>
      <c r="D4" s="18" t="inlineStr">
        <is>
          <t>Positive</t>
        </is>
      </c>
      <c r="E4" s="19" t="inlineStr">
        <is>
          <t>High</t>
        </is>
      </c>
      <c r="F4" s="6" t="inlineStr">
        <is>
          <t>You just published an Open job with Exposure On, on a paid tier.</t>
        </is>
      </c>
      <c r="G4" s="6" t="inlineStr">
        <is>
          <t>1. Open the jobseeker site in a different browser (logged out).
2. Look at the homepage rails.
3. If it is not on a rail, search for its exact title.</t>
        </is>
      </c>
      <c r="H4" s="6" t="inlineStr">
        <is>
          <t>The exact job title you used</t>
        </is>
      </c>
      <c r="I4" s="6" t="inlineStr">
        <is>
          <t>The job is reachable on the jobseeker site.
Write down how long it took to appear — if there is a delay, note it.</t>
        </is>
      </c>
      <c r="J4" s="20" t="inlineStr"/>
      <c r="K4" s="21" t="inlineStr"/>
      <c r="L4" s="20" t="inlineStr"/>
      <c r="M4" s="21" t="inlineStr"/>
      <c r="N4" s="20" t="inlineStr"/>
    </row>
    <row r="5" ht="28" customHeight="1">
      <c r="A5" s="22" t="inlineStr">
        <is>
          <t>AD-09-02</t>
        </is>
      </c>
      <c r="B5" s="23" t="inlineStr">
        <is>
          <t>Search</t>
        </is>
      </c>
      <c r="C5" s="23" t="inlineStr">
        <is>
          <t>The job is found by its keyword</t>
        </is>
      </c>
      <c r="D5" s="18" t="inlineStr">
        <is>
          <t>Positive</t>
        </is>
      </c>
      <c r="E5" s="19" t="inlineStr">
        <is>
          <t>High</t>
        </is>
      </c>
      <c r="F5" s="23" t="inlineStr">
        <is>
          <t>The job from AD-09-01 is live.</t>
        </is>
      </c>
      <c r="G5" s="23" t="inlineStr">
        <is>
          <t>1. Go to the jobseeker search page.
2. Search for a word from the job title.</t>
        </is>
      </c>
      <c r="H5" s="23" t="inlineStr">
        <is>
          <t>-</t>
        </is>
      </c>
      <c r="I5" s="23" t="inlineStr">
        <is>
          <t>The job appears in the results with the correct title, company, salary, location and posted-ago.</t>
        </is>
      </c>
      <c r="J5" s="20" t="inlineStr"/>
      <c r="K5" s="21" t="inlineStr"/>
      <c r="L5" s="20" t="inlineStr"/>
      <c r="M5" s="21" t="inlineStr"/>
      <c r="N5" s="20" t="inlineStr"/>
    </row>
    <row r="6" ht="81" customHeight="1">
      <c r="A6" s="17" t="inlineStr">
        <is>
          <t>AD-09-03</t>
        </is>
      </c>
      <c r="B6" s="6" t="inlineStr">
        <is>
          <t>Search</t>
        </is>
      </c>
      <c r="C6" s="6" t="inlineStr">
        <is>
          <t>The job is found by every filter it should match</t>
        </is>
      </c>
      <c r="D6" s="18" t="inlineStr">
        <is>
          <t>Positive</t>
        </is>
      </c>
      <c r="E6" s="19" t="inlineStr">
        <is>
          <t>High</t>
        </is>
      </c>
      <c r="F6" s="6" t="inlineStr">
        <is>
          <t>The job is live, posted in Ho Chi Minh, category IT, level Experienced, contract fulltime, salary 20–30 million.</t>
        </is>
      </c>
      <c r="G6" s="6" t="inlineStr">
        <is>
          <t>1. Filter by Location = Ho Chi Minh — is the job there?
2. Filter by Category = IT.
3. Filter by Level = Experienced.
4. Filter by Employment type = fulltime.
5. Filter by Salary 20–30 million.
6. Now filter by a DIFFERENT province.</t>
        </is>
      </c>
      <c r="H6" s="6" t="inlineStr">
        <is>
          <t>-</t>
        </is>
      </c>
      <c r="I6" s="6" t="inlineStr">
        <is>
          <t>The job appears under each filter that matches it.
It does NOT appear under the wrong province.
The location filter reads the province of the picked office, never the typed street address.</t>
        </is>
      </c>
      <c r="J6" s="20" t="inlineStr"/>
      <c r="K6" s="21" t="inlineStr"/>
      <c r="L6" s="20" t="inlineStr"/>
      <c r="M6" s="21" t="inlineStr"/>
      <c r="N6" s="20" t="inlineStr"/>
    </row>
    <row r="7" ht="28" customHeight="1">
      <c r="A7" s="22" t="inlineStr">
        <is>
          <t>AD-09-04</t>
        </is>
      </c>
      <c r="B7" s="23" t="inlineStr">
        <is>
          <t>Job detail</t>
        </is>
      </c>
      <c r="C7" s="23" t="inlineStr">
        <is>
          <t>The job detail on the jobseeker side matches what was entered in Admin</t>
        </is>
      </c>
      <c r="D7" s="18" t="inlineStr">
        <is>
          <t>Positive</t>
        </is>
      </c>
      <c r="E7" s="19" t="inlineStr">
        <is>
          <t>High</t>
        </is>
      </c>
      <c r="F7" s="23" t="inlineStr">
        <is>
          <t>The job is live. You have the Admin form open beside you.</t>
        </is>
      </c>
      <c r="G7" s="23" t="inlineStr">
        <is>
          <t>1. Open the job detail on the jobseeker site.
2. Compare, field by field: title, company, salary, locations, level, deadline, role &amp; responsibility, skills &amp; qualifications, benefits, skill chips.</t>
        </is>
      </c>
      <c r="H7" s="23" t="inlineStr">
        <is>
          <t>-</t>
        </is>
      </c>
      <c r="I7" s="23" t="inlineStr">
        <is>
          <t>Every field matches what was entered.
List any difference in Notes — a field that does not travel is a real bug.</t>
        </is>
      </c>
      <c r="J7" s="20" t="inlineStr"/>
      <c r="K7" s="21" t="inlineStr"/>
      <c r="L7" s="20" t="inlineStr"/>
      <c r="M7" s="21" t="inlineStr"/>
      <c r="N7" s="20" t="inlineStr"/>
    </row>
    <row r="8" ht="40.5" customHeight="1">
      <c r="A8" s="17" t="inlineStr">
        <is>
          <t>AD-09-05</t>
        </is>
      </c>
      <c r="B8" s="6" t="inlineStr">
        <is>
          <t>Ranking</t>
        </is>
      </c>
      <c r="C8" s="6" t="inlineStr">
        <is>
          <t>A higher-tier job ranks above a Basic one</t>
        </is>
      </c>
      <c r="D8" s="18" t="inlineStr">
        <is>
          <t>Positive</t>
        </is>
      </c>
      <c r="E8" s="25" t="inlineStr">
        <is>
          <t>Medium</t>
        </is>
      </c>
      <c r="F8" s="6" t="inlineStr">
        <is>
          <t>Two jobs in the same category: one on Top Job / Distinction, one on Basic, published at about the same time.</t>
        </is>
      </c>
      <c r="G8" s="6" t="inlineStr">
        <is>
          <t>1. Search for a keyword that matches both.
2. Note the order.
3. Open the homepage Hot jobs rail and note the order.</t>
        </is>
      </c>
      <c r="H8" s="6" t="inlineStr">
        <is>
          <t>-</t>
        </is>
      </c>
      <c r="I8" s="6" t="inlineStr">
        <is>
          <t>The higher-tier job appears above the Basic one in both places, while still being relevant to the search.</t>
        </is>
      </c>
      <c r="J8" s="20" t="inlineStr"/>
      <c r="K8" s="21" t="inlineStr"/>
      <c r="L8" s="20" t="inlineStr"/>
      <c r="M8" s="21" t="inlineStr"/>
      <c r="N8" s="20" t="inlineStr"/>
    </row>
    <row r="9" ht="40.5" customHeight="1">
      <c r="A9" s="22" t="inlineStr">
        <is>
          <t>AD-09-06</t>
        </is>
      </c>
      <c r="B9" s="23" t="inlineStr">
        <is>
          <t>Free tier</t>
        </is>
      </c>
      <c r="C9" s="23" t="inlineStr">
        <is>
          <t>A free-tier job gets a default listing only</t>
        </is>
      </c>
      <c r="D9" s="26" t="inlineStr">
        <is>
          <t>Edge</t>
        </is>
      </c>
      <c r="E9" s="19" t="inlineStr">
        <is>
          <t>High</t>
        </is>
      </c>
      <c r="F9" s="23" t="inlineStr">
        <is>
          <t>You posted one free-tier job from Admin and one paid Top Job job.</t>
        </is>
      </c>
      <c r="G9" s="23" t="inlineStr">
        <is>
          <t>1. Compare the two on the homepage and in search.
2. Check whether the free job appears in any premium placement / highlight slot.
3. Ask a developer whether the free job is linked to a PO and whether it counts in revenue reporting.</t>
        </is>
      </c>
      <c r="H9" s="23" t="inlineStr">
        <is>
          <t>-</t>
        </is>
      </c>
      <c r="I9" s="23" t="inlineStr">
        <is>
          <t>The free job is listed like any normal job but gets NO premium placement.
It links to no PO, consumes no quota and is excluded from revenue reporting.
It cannot be upgraded to a paid tier later.</t>
        </is>
      </c>
      <c r="J9" s="20" t="inlineStr"/>
      <c r="K9" s="21" t="inlineStr"/>
      <c r="L9" s="20" t="inlineStr"/>
      <c r="M9" s="21" t="inlineStr"/>
      <c r="N9" s="20" t="inlineStr"/>
    </row>
    <row r="10" ht="67.5" customHeight="1">
      <c r="A10" s="17" t="inlineStr">
        <is>
          <t>AD-09-07</t>
        </is>
      </c>
      <c r="B10" s="6" t="inlineStr">
        <is>
          <t>Exposure</t>
        </is>
      </c>
      <c r="C10" s="6" t="inlineStr">
        <is>
          <t>Exposure Off removes the job from every jobseeker surface</t>
        </is>
      </c>
      <c r="D10" s="24" t="inlineStr">
        <is>
          <t>Negative</t>
        </is>
      </c>
      <c r="E10" s="19" t="inlineStr">
        <is>
          <t>High</t>
        </is>
      </c>
      <c r="F10" s="6" t="inlineStr">
        <is>
          <t>A live job with Exposure On, which you can find in search.</t>
        </is>
      </c>
      <c r="G10" s="6" t="inlineStr">
        <is>
          <t>1. Screenshot the job in search and copy its URL.
2. Switch Exposure to Off in Admin.
3. Refresh the homepage, the search results and the direct URL.
4. Try to apply from the direct URL.
5. Ask a developer to POST an application for that job id.</t>
        </is>
      </c>
      <c r="H10" s="6" t="inlineStr">
        <is>
          <t>-</t>
        </is>
      </c>
      <c r="I10" s="6" t="inlineStr">
        <is>
          <t>It is gone from the homepage and from search.
The direct URL no longer offers an apply.
The API refuses an application for that job.</t>
        </is>
      </c>
      <c r="J10" s="20" t="inlineStr"/>
      <c r="K10" s="21" t="inlineStr"/>
      <c r="L10" s="20" t="inlineStr"/>
      <c r="M10" s="21" t="inlineStr"/>
      <c r="N10" s="20" t="inlineStr"/>
    </row>
    <row r="11" ht="40.5" customHeight="1">
      <c r="A11" s="22" t="inlineStr">
        <is>
          <t>AD-09-08</t>
        </is>
      </c>
      <c r="B11" s="23" t="inlineStr">
        <is>
          <t>Exposure</t>
        </is>
      </c>
      <c r="C11" s="23" t="inlineStr">
        <is>
          <t>Exposure On brings the job straight back</t>
        </is>
      </c>
      <c r="D11" s="18" t="inlineStr">
        <is>
          <t>Positive</t>
        </is>
      </c>
      <c r="E11" s="19" t="inlineStr">
        <is>
          <t>High</t>
        </is>
      </c>
      <c r="F11" s="23" t="inlineStr">
        <is>
          <t>The job from AD-09-07 is hidden.</t>
        </is>
      </c>
      <c r="G11" s="23" t="inlineStr">
        <is>
          <t>1. Switch Exposure back to On.
2. Refresh the jobseeker search.
3. Apply to it.</t>
        </is>
      </c>
      <c r="H11" s="23" t="inlineStr">
        <is>
          <t>-</t>
        </is>
      </c>
      <c r="I11" s="23" t="inlineStr">
        <is>
          <t>The job is listed again and can be applied to.</t>
        </is>
      </c>
      <c r="J11" s="20" t="inlineStr"/>
      <c r="K11" s="21" t="inlineStr"/>
      <c r="L11" s="20" t="inlineStr"/>
      <c r="M11" s="21" t="inlineStr"/>
      <c r="N11" s="20" t="inlineStr"/>
    </row>
    <row r="12" ht="40.5" customHeight="1">
      <c r="A12" s="17" t="inlineStr">
        <is>
          <t>AD-09-09</t>
        </is>
      </c>
      <c r="B12" s="6" t="inlineStr">
        <is>
          <t>Exposure</t>
        </is>
      </c>
      <c r="C12" s="6" t="inlineStr">
        <is>
          <t>Hiding a job does not pause its deadline</t>
        </is>
      </c>
      <c r="D12" s="26" t="inlineStr">
        <is>
          <t>Edge</t>
        </is>
      </c>
      <c r="E12" s="25" t="inlineStr">
        <is>
          <t>Medium</t>
        </is>
      </c>
      <c r="F12" s="6" t="inlineStr">
        <is>
          <t>A job whose deadline is soon.</t>
        </is>
      </c>
      <c r="G12" s="6" t="inlineStr">
        <is>
          <t>1. Switch Exposure Off.
2. Let the deadline pass.
3. Check the status.</t>
        </is>
      </c>
      <c r="H12" s="6" t="inlineStr">
        <is>
          <t>-</t>
        </is>
      </c>
      <c r="I12" s="6" t="inlineStr">
        <is>
          <t>The job still auto-Closes on its expiry date — hiding it did not stop the clock.
(This is the specified behaviour, and it is also an open question — note what you see.)</t>
        </is>
      </c>
      <c r="J12" s="20" t="inlineStr"/>
      <c r="K12" s="21" t="inlineStr"/>
      <c r="L12" s="20" t="inlineStr"/>
      <c r="M12" s="21" t="inlineStr"/>
      <c r="N12" s="20" t="inlineStr"/>
    </row>
    <row r="13" ht="28" customHeight="1">
      <c r="A13" s="22" t="inlineStr">
        <is>
          <t>AD-09-10</t>
        </is>
      </c>
      <c r="B13" s="23" t="inlineStr">
        <is>
          <t>Visibility rules</t>
        </is>
      </c>
      <c r="C13" s="23" t="inlineStr">
        <is>
          <t>Draft and Scheduled jobs are never visible</t>
        </is>
      </c>
      <c r="D13" s="24" t="inlineStr">
        <is>
          <t>Negative</t>
        </is>
      </c>
      <c r="E13" s="19" t="inlineStr">
        <is>
          <t>High</t>
        </is>
      </c>
      <c r="F13" s="23" t="inlineStr">
        <is>
          <t>You have one Draft job and one job scheduled for next week. You know both titles.</t>
        </is>
      </c>
      <c r="G13" s="23" t="inlineStr">
        <is>
          <t>1. Search for both titles on the jobseeker site.
2. Ask a developer for both job ids and try to open them directly.</t>
        </is>
      </c>
      <c r="H13" s="23" t="inlineStr">
        <is>
          <t>-</t>
        </is>
      </c>
      <c r="I13" s="23" t="inlineStr">
        <is>
          <t>Neither is found in search.
Neither direct URL shows an applyable job.</t>
        </is>
      </c>
      <c r="J13" s="20" t="inlineStr"/>
      <c r="K13" s="21" t="inlineStr"/>
      <c r="L13" s="20" t="inlineStr"/>
      <c r="M13" s="21" t="inlineStr"/>
      <c r="N13" s="20" t="inlineStr"/>
    </row>
    <row r="14" ht="40.5" customHeight="1">
      <c r="A14" s="17" t="inlineStr">
        <is>
          <t>AD-09-11</t>
        </is>
      </c>
      <c r="B14" s="6" t="inlineStr">
        <is>
          <t>Closed job</t>
        </is>
      </c>
      <c r="C14" s="6" t="inlineStr">
        <is>
          <t>A closed job is still readable but cannot be applied to</t>
        </is>
      </c>
      <c r="D14" s="24" t="inlineStr">
        <is>
          <t>Negative</t>
        </is>
      </c>
      <c r="E14" s="19" t="inlineStr">
        <is>
          <t>High</t>
        </is>
      </c>
      <c r="F14" s="6" t="inlineStr">
        <is>
          <t>A job that closed at its deadline.</t>
        </is>
      </c>
      <c r="G14" s="6" t="inlineStr">
        <is>
          <t>1. Open its URL on the jobseeker site.
2. Try to apply.
3. Ask a developer to POST an application for it.</t>
        </is>
      </c>
      <c r="H14" s="6" t="inlineStr">
        <is>
          <t>-</t>
        </is>
      </c>
      <c r="I14" s="6" t="inlineStr">
        <is>
          <t>The content still opens with a clear 'closed' notice.
Apply is disabled on screen AND refused by the API.</t>
        </is>
      </c>
      <c r="J14" s="20" t="inlineStr"/>
      <c r="K14" s="21" t="inlineStr"/>
      <c r="L14" s="20" t="inlineStr"/>
      <c r="M14" s="21" t="inlineStr"/>
      <c r="N14" s="20" t="inlineStr"/>
    </row>
    <row r="15" ht="40.5" customHeight="1">
      <c r="A15" s="22" t="inlineStr">
        <is>
          <t>AD-09-12</t>
        </is>
      </c>
      <c r="B15" s="23" t="inlineStr">
        <is>
          <t>Company page</t>
        </is>
      </c>
      <c r="C15" s="23" t="inlineStr">
        <is>
          <t>The job links to a company page that exists because they bought it</t>
        </is>
      </c>
      <c r="D15" s="18" t="inlineStr">
        <is>
          <t>Positive</t>
        </is>
      </c>
      <c r="E15" s="19" t="inlineStr">
        <is>
          <t>High</t>
        </is>
      </c>
      <c r="F15" s="23" t="inlineStr">
        <is>
          <t>The company bought Job Posting and was invoiced.</t>
        </is>
      </c>
      <c r="G15" s="23" t="inlineStr">
        <is>
          <t>1. Open the job detail and click the company.
2. Read the company page.
3. Check the company's other open jobs are listed.</t>
        </is>
      </c>
      <c r="H15" s="23" t="inlineStr">
        <is>
          <t>-</t>
        </is>
      </c>
      <c r="I15" s="23" t="inlineStr">
        <is>
          <t>The public company page opens with the company's information and its open jobs.</t>
        </is>
      </c>
      <c r="J15" s="20" t="inlineStr"/>
      <c r="K15" s="21" t="inlineStr"/>
      <c r="L15" s="20" t="inlineStr"/>
      <c r="M15" s="21" t="inlineStr"/>
      <c r="N15" s="20" t="inlineStr"/>
    </row>
    <row r="16" ht="40.5" customHeight="1">
      <c r="A16" s="17" t="inlineStr">
        <is>
          <t>AD-09-13</t>
        </is>
      </c>
      <c r="B16" s="6" t="inlineStr">
        <is>
          <t>Company benefits</t>
        </is>
      </c>
      <c r="C16" s="6" t="inlineStr">
        <is>
          <t>Editing the company page updates every open job immediately</t>
        </is>
      </c>
      <c r="D16" s="26" t="inlineStr">
        <is>
          <t>Edge</t>
        </is>
      </c>
      <c r="E16" s="19" t="inlineStr">
        <is>
          <t>High</t>
        </is>
      </c>
      <c r="F16" s="6" t="inlineStr">
        <is>
          <t>The company has 2 open jobs and general benefits on its company page.</t>
        </is>
      </c>
      <c r="G16" s="6" t="inlineStr">
        <is>
          <t>1. Open both jobs on the jobseeker side and note the 'Phúc lợi chung của công ty' block.
2. On the Company site, add a new general benefit to the company page.
3. Refresh both job pages.</t>
        </is>
      </c>
      <c r="H16" s="6" t="inlineStr">
        <is>
          <t>-</t>
        </is>
      </c>
      <c r="I16" s="6" t="inlineStr">
        <is>
          <t>The new benefit appears on BOTH open jobs immediately.
This is the point of inheriting rather than copying.</t>
        </is>
      </c>
      <c r="J16" s="20" t="inlineStr"/>
      <c r="K16" s="21" t="inlineStr"/>
      <c r="L16" s="20" t="inlineStr"/>
      <c r="M16" s="21" t="inlineStr"/>
      <c r="N16" s="20" t="inlineStr"/>
    </row>
    <row r="17" ht="40.5" customHeight="1">
      <c r="A17" s="22" t="inlineStr">
        <is>
          <t>AD-09-14</t>
        </is>
      </c>
      <c r="B17" s="23" t="inlineStr">
        <is>
          <t>Office move</t>
        </is>
      </c>
      <c r="C17" s="23" t="inlineStr">
        <is>
          <t>Correcting an office address fixes every live job in one edit</t>
        </is>
      </c>
      <c r="D17" s="26" t="inlineStr">
        <is>
          <t>Edge</t>
        </is>
      </c>
      <c r="E17" s="19" t="inlineStr">
        <is>
          <t>High</t>
        </is>
      </c>
      <c r="F17" s="23" t="inlineStr">
        <is>
          <t>The company has 3 open jobs all using the office 'Trụ sở chính'.</t>
        </is>
      </c>
      <c r="G17" s="23" t="inlineStr">
        <is>
          <t>1. Note the address shown on all three job pages.
2. On the Company site, edit that office's address in the office book.
3. Refresh all three job pages.</t>
        </is>
      </c>
      <c r="H17" s="23" t="inlineStr">
        <is>
          <t>New address for Trụ sở chính</t>
        </is>
      </c>
      <c r="I17" s="23" t="inlineStr">
        <is>
          <t>All three jobs show the new address after ONE edit.
You did not have to edit three jobs.</t>
        </is>
      </c>
      <c r="J17" s="20" t="inlineStr"/>
      <c r="K17" s="21" t="inlineStr"/>
      <c r="L17" s="20" t="inlineStr"/>
      <c r="M17" s="21" t="inlineStr"/>
      <c r="N17" s="20" t="inlineStr"/>
    </row>
    <row r="18" ht="40.5" customHeight="1">
      <c r="A18" s="17" t="inlineStr">
        <is>
          <t>AD-09-15</t>
        </is>
      </c>
      <c r="B18" s="6" t="inlineStr">
        <is>
          <t>Editing</t>
        </is>
      </c>
      <c r="C18" s="6" t="inlineStr">
        <is>
          <t>Editing an open job updates the jobseeker side and keeps it Open</t>
        </is>
      </c>
      <c r="D18" s="18" t="inlineStr">
        <is>
          <t>Positive</t>
        </is>
      </c>
      <c r="E18" s="19" t="inlineStr">
        <is>
          <t>High</t>
        </is>
      </c>
      <c r="F18" s="6" t="inlineStr">
        <is>
          <t>A job is live and visible.</t>
        </is>
      </c>
      <c r="G18" s="6" t="inlineStr">
        <is>
          <t>1. In Admin, change the description and the salary. Save.
2. Refresh the jobseeker job page.
3. Check the status in Admin.</t>
        </is>
      </c>
      <c r="H18" s="6" t="inlineStr">
        <is>
          <t>-</t>
        </is>
      </c>
      <c r="I18" s="6" t="inlineStr">
        <is>
          <t>The new content is shown to jobseekers.
The status is still Open — there is no re-approval and nothing goes back to Draft.</t>
        </is>
      </c>
      <c r="J18" s="20" t="inlineStr"/>
      <c r="K18" s="21" t="inlineStr"/>
      <c r="L18" s="20" t="inlineStr"/>
      <c r="M18" s="21" t="inlineStr"/>
      <c r="N18" s="20" t="inlineStr"/>
    </row>
    <row r="19" ht="40.5" customHeight="1">
      <c r="A19" s="22" t="inlineStr">
        <is>
          <t>AD-09-16</t>
        </is>
      </c>
      <c r="B19" s="23" t="inlineStr">
        <is>
          <t>End of the chain</t>
        </is>
      </c>
      <c r="C19" s="23" t="inlineStr">
        <is>
          <t>An application on this job reaches the employer's board</t>
        </is>
      </c>
      <c r="D19" s="18" t="inlineStr">
        <is>
          <t>Positive</t>
        </is>
      </c>
      <c r="E19" s="19" t="inlineStr">
        <is>
          <t>High</t>
        </is>
      </c>
      <c r="F19" s="23" t="inlineStr">
        <is>
          <t>The job is live. You have a jobseeker account with a CV.</t>
        </is>
      </c>
      <c r="G19" s="23" t="inlineStr">
        <is>
          <t>1. Apply to the job as the jobseeker.
2. Sign in as the company user.
3. Open Recruiting → Applicants for that job.</t>
        </is>
      </c>
      <c r="H19" s="23" t="inlineStr">
        <is>
          <t>-</t>
        </is>
      </c>
      <c r="I19" s="23" t="inlineStr">
        <is>
          <t>The application is on the board in the first stage.
The whole chain has now been proved end to end: product → company → quotation → PO → invoice → quota → job → jobseeker → application.</t>
        </is>
      </c>
      <c r="J19" s="20" t="inlineStr"/>
      <c r="K19" s="21" t="inlineStr"/>
      <c r="L19" s="20" t="inlineStr"/>
      <c r="M19" s="21" t="inlineStr"/>
      <c r="N19" s="20" t="inlineStr"/>
    </row>
  </sheetData>
  <autoFilter ref="A3:N19"/>
  <mergeCells count="2">
    <mergeCell ref="A2:N2"/>
    <mergeCell ref="A1:N1"/>
  </mergeCells>
  <dataValidations count="1">
    <dataValidation sqref="K4:K19"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N15"/>
  <sheetViews>
    <sheetView showGridLines="0" workbookViewId="0">
      <pane xSplit="2" ySplit="3" topLeftCell="C4" activePane="bottomRight" state="frozen"/>
      <selection pane="topRight"/>
      <selection pane="bottomLeft"/>
      <selection pane="bottomRight" activeCell="A1" sqref="A1"/>
    </sheetView>
  </sheetViews>
  <sheetFormatPr baseColWidth="8" defaultRowHeight="15"/>
  <cols>
    <col width="14" customWidth="1" min="1" max="1"/>
    <col width="22" customWidth="1" min="2" max="2"/>
    <col width="40" customWidth="1" min="3" max="3"/>
    <col width="11" customWidth="1" min="4" max="4"/>
    <col width="10" customWidth="1" min="5" max="5"/>
    <col width="34" customWidth="1" min="6" max="6"/>
    <col width="62" customWidth="1" min="7" max="7"/>
    <col width="26" customWidth="1" min="8" max="8"/>
    <col width="58" customWidth="1" min="9" max="9"/>
    <col width="26" customWidth="1" min="10" max="10"/>
    <col width="12" customWidth="1" min="11" max="11"/>
    <col width="14" customWidth="1" min="12" max="12"/>
    <col width="12" customWidth="1" min="13" max="13"/>
    <col width="20" customWidth="1" min="14" max="14"/>
  </cols>
  <sheetData>
    <row r="1" ht="22" customHeight="1">
      <c r="A1" s="16" t="inlineStr">
        <is>
          <t>AD-10 · One full run: product → company → quotation → PO → invoice → job → applicant</t>
        </is>
      </c>
    </row>
    <row r="2" ht="26" customHeight="1">
      <c r="A2" s="8" t="inlineStr">
        <is>
          <t>Fill in only the yellow columns: Actual Result, Status, Tested By, Test Date, Notes / Bug ID.   Status must be one of: Pass, Fail, Blocked, Not Run.   If a step does not behave as written in 'Expected Result', mark Fail and write exactly what happened.</t>
        </is>
      </c>
    </row>
    <row r="3" ht="30" customHeight="1">
      <c r="A3" s="9" t="inlineStr">
        <is>
          <t>Test Case ID</t>
        </is>
      </c>
      <c r="B3" s="9" t="inlineStr">
        <is>
          <t>Feature / Screen</t>
        </is>
      </c>
      <c r="C3" s="9" t="inlineStr">
        <is>
          <t>Test Case Title</t>
        </is>
      </c>
      <c r="D3" s="9" t="inlineStr">
        <is>
          <t>Type</t>
        </is>
      </c>
      <c r="E3" s="9" t="inlineStr">
        <is>
          <t>Priority</t>
        </is>
      </c>
      <c r="F3" s="9" t="inlineStr">
        <is>
          <t>Pre-condition</t>
        </is>
      </c>
      <c r="G3" s="9" t="inlineStr">
        <is>
          <t>Test Steps (do these in order)</t>
        </is>
      </c>
      <c r="H3" s="9" t="inlineStr">
        <is>
          <t>Test Data</t>
        </is>
      </c>
      <c r="I3" s="9" t="inlineStr">
        <is>
          <t>Expected Result (what you should see)</t>
        </is>
      </c>
      <c r="J3" s="9" t="inlineStr">
        <is>
          <t>Actual Result</t>
        </is>
      </c>
      <c r="K3" s="9" t="inlineStr">
        <is>
          <t>Status</t>
        </is>
      </c>
      <c r="L3" s="9" t="inlineStr">
        <is>
          <t>Tested By</t>
        </is>
      </c>
      <c r="M3" s="9" t="inlineStr">
        <is>
          <t>Test Date</t>
        </is>
      </c>
      <c r="N3" s="9" t="inlineStr">
        <is>
          <t>Notes / Bug ID</t>
        </is>
      </c>
    </row>
    <row r="4" ht="40.5" customHeight="1">
      <c r="A4" s="17" t="inlineStr">
        <is>
          <t>AD-10-01</t>
        </is>
      </c>
      <c r="B4" s="6" t="inlineStr">
        <is>
          <t>End to end</t>
        </is>
      </c>
      <c r="C4" s="6" t="inlineStr">
        <is>
          <t>STEP 1 — Create the product you will sell</t>
        </is>
      </c>
      <c r="D4" s="18" t="inlineStr">
        <is>
          <t>Positive</t>
        </is>
      </c>
      <c r="E4" s="19" t="inlineStr">
        <is>
          <t>High</t>
        </is>
      </c>
      <c r="F4" s="6" t="inlineStr">
        <is>
          <t>You are signed in to Admin with product rights. Nothing else is set up yet.</t>
        </is>
      </c>
      <c r="G4" s="6" t="inlineStr">
        <is>
          <t>1. Create a posting-tier product: SKU JOB-E2E01, VI and EN names, price 2,710,000 ₫, VAT 8%, 10 slots at Basic, 30-day display, 12-month activation window, entitlementSource = Requires purchase.
2. Activate it.
3. Create a CV credit pack: SKU CV-E2E50, 50 unlocks, 90 days. Activate it.</t>
        </is>
      </c>
      <c r="H4" s="6" t="inlineStr">
        <is>
          <t>SKU: JOB-E2E01, CV-E2E50</t>
        </is>
      </c>
      <c r="I4" s="6" t="inlineStr">
        <is>
          <t>Both products are Active and appear in the product picker of a quotation.
Write both SKUs down — you will use them all the way through this sheet.</t>
        </is>
      </c>
      <c r="J4" s="20" t="inlineStr"/>
      <c r="K4" s="21" t="inlineStr"/>
      <c r="L4" s="20" t="inlineStr"/>
      <c r="M4" s="21" t="inlineStr"/>
      <c r="N4" s="20" t="inlineStr"/>
    </row>
    <row r="5" ht="40.5" customHeight="1">
      <c r="A5" s="22" t="inlineStr">
        <is>
          <t>AD-10-02</t>
        </is>
      </c>
      <c r="B5" s="23" t="inlineStr">
        <is>
          <t>End to end</t>
        </is>
      </c>
      <c r="C5" s="23" t="inlineStr">
        <is>
          <t>STEP 2 — Create the customer company</t>
        </is>
      </c>
      <c r="D5" s="18" t="inlineStr">
        <is>
          <t>Positive</t>
        </is>
      </c>
      <c r="E5" s="19" t="inlineStr">
        <is>
          <t>High</t>
        </is>
      </c>
      <c r="F5" s="23" t="inlineStr">
        <is>
          <t>Step 1 is done.</t>
        </is>
      </c>
      <c r="G5" s="23" t="inlineStr">
        <is>
          <t>1. Create a company: legal name, a NEW tax code nobody else uses, country Việt Nam, a province, an address, and a primary contact with a name, phone and an email you can open.
2. Upload a verification document (a business licence PDF).
3. Save.</t>
        </is>
      </c>
      <c r="H5" s="23" t="inlineStr">
        <is>
          <t>A fresh MST you have not used before</t>
        </is>
      </c>
      <c r="I5" s="23" t="inlineStr">
        <is>
          <t>The company is created with a CO- company ID.
Customer status is New, pipeline status is Not in pipeline.
Write the company ID down.</t>
        </is>
      </c>
      <c r="J5" s="20" t="inlineStr"/>
      <c r="K5" s="21" t="inlineStr"/>
      <c r="L5" s="20" t="inlineStr"/>
      <c r="M5" s="21" t="inlineStr"/>
      <c r="N5" s="20" t="inlineStr"/>
    </row>
    <row r="6" ht="81" customHeight="1">
      <c r="A6" s="17" t="inlineStr">
        <is>
          <t>AD-10-03</t>
        </is>
      </c>
      <c r="B6" s="6" t="inlineStr">
        <is>
          <t>End to end</t>
        </is>
      </c>
      <c r="C6" s="6" t="inlineStr">
        <is>
          <t>STEP 3 — Create and send the quotation</t>
        </is>
      </c>
      <c r="D6" s="18" t="inlineStr">
        <is>
          <t>Positive</t>
        </is>
      </c>
      <c r="E6" s="19" t="inlineStr">
        <is>
          <t>High</t>
        </is>
      </c>
      <c r="F6" s="6" t="inlineStr">
        <is>
          <t>Step 2 is done.</t>
        </is>
      </c>
      <c r="G6" s="6" t="inlineStr">
        <is>
          <t>1. On the company detail, click 'Tạo báo giá'.
2. Build Option 1: 10 × JOB-E2E01 plus 1 × CV-E2E50.
3. Build Option 2: a cheaper alternative with fewer slots.
4. Check the discount that applied by itself (the customer is New).
5. Check the totals, the VAT and the amount in words on both options.
6. Send it (platform Send, or Mark as sent).</t>
        </is>
      </c>
      <c r="H6" s="6" t="inlineStr">
        <is>
          <t>-</t>
        </is>
      </c>
      <c r="I6" s="6" t="inlineStr">
        <is>
          <t>The quotation is numbered QUO-…-MM-YYYY and expires on the last day of the month.
A discount programme applied itself because the customer is New.
Status is Sent.
On the pipeline board, the company is in the Proposal column.</t>
        </is>
      </c>
      <c r="J6" s="20" t="inlineStr"/>
      <c r="K6" s="21" t="inlineStr"/>
      <c r="L6" s="20" t="inlineStr"/>
      <c r="M6" s="21" t="inlineStr"/>
      <c r="N6" s="20" t="inlineStr"/>
    </row>
    <row r="7" ht="54" customHeight="1">
      <c r="A7" s="22" t="inlineStr">
        <is>
          <t>AD-10-04</t>
        </is>
      </c>
      <c r="B7" s="23" t="inlineStr">
        <is>
          <t>End to end</t>
        </is>
      </c>
      <c r="C7" s="23" t="inlineStr">
        <is>
          <t>STEP 4 — Move the deal through the pipeline</t>
        </is>
      </c>
      <c r="D7" s="18" t="inlineStr">
        <is>
          <t>Positive</t>
        </is>
      </c>
      <c r="E7" s="19" t="inlineStr">
        <is>
          <t>High</t>
        </is>
      </c>
      <c r="F7" s="23" t="inlineStr">
        <is>
          <t>Step 3 is done and the card is at Proposal.</t>
        </is>
      </c>
      <c r="G7" s="23" t="inlineStr">
        <is>
          <t>1. Move the card to Qualified.
2. Log a call activity.
3. Move it to Negotiation.
4. Check the customer status is still New.</t>
        </is>
      </c>
      <c r="H7" s="23" t="inlineStr">
        <is>
          <t>-</t>
        </is>
      </c>
      <c r="I7" s="23" t="inlineStr">
        <is>
          <t>The card moves each time, the health dot resets to green, and every move is audited.
The customer status is still New — nothing a rep does on the board changes it.</t>
        </is>
      </c>
      <c r="J7" s="20" t="inlineStr"/>
      <c r="K7" s="21" t="inlineStr"/>
      <c r="L7" s="20" t="inlineStr"/>
      <c r="M7" s="21" t="inlineStr"/>
      <c r="N7" s="20" t="inlineStr"/>
    </row>
    <row r="8" ht="81" customHeight="1">
      <c r="A8" s="17" t="inlineStr">
        <is>
          <t>AD-10-05</t>
        </is>
      </c>
      <c r="B8" s="6" t="inlineStr">
        <is>
          <t>End to end</t>
        </is>
      </c>
      <c r="C8" s="6" t="inlineStr">
        <is>
          <t>STEP 5 — Record the accepted option and issue the PO</t>
        </is>
      </c>
      <c r="D8" s="18" t="inlineStr">
        <is>
          <t>Positive</t>
        </is>
      </c>
      <c r="E8" s="19" t="inlineStr">
        <is>
          <t>High</t>
        </is>
      </c>
      <c r="F8" s="6" t="inlineStr">
        <is>
          <t>Step 4 is done.</t>
        </is>
      </c>
      <c r="G8" s="6" t="inlineStr">
        <is>
          <t>1. Record that the customer accepted Option 1.
2. Click 'Issue PO' on the accepted row.
3. Compare every line and total on the PO with Option 1.
4. Attach the customer's own PO number and file.
5. Check the pipeline board and the customer status.
6. Open the company detail → Products &amp; billing.</t>
        </is>
      </c>
      <c r="H8" s="6" t="inlineStr">
        <is>
          <t>Customer PO no: PO-E2E/2026/001</t>
        </is>
      </c>
      <c r="I8" s="6" t="inlineStr">
        <is>
          <t>The PO is numbered PO-…-MM-YYYY, is Active, and matches Option 1 exactly.
The deal card is now in the PO column (this is the 'won' moment).
Customer status is STILL New.
Products &amp; billing is STILL EMPTY — the PO provisions nothing.</t>
        </is>
      </c>
      <c r="J8" s="20" t="inlineStr"/>
      <c r="K8" s="21" t="inlineStr"/>
      <c r="L8" s="20" t="inlineStr"/>
      <c r="M8" s="21" t="inlineStr"/>
      <c r="N8" s="20" t="inlineStr"/>
    </row>
    <row r="9" ht="67.5" customHeight="1">
      <c r="A9" s="22" t="inlineStr">
        <is>
          <t>AD-10-06</t>
        </is>
      </c>
      <c r="B9" s="23" t="inlineStr">
        <is>
          <t>End to end</t>
        </is>
      </c>
      <c r="C9" s="23" t="inlineStr">
        <is>
          <t>STEP 6 — Issue the VAT invoice as Kế toán</t>
        </is>
      </c>
      <c r="D9" s="18" t="inlineStr">
        <is>
          <t>Positive</t>
        </is>
      </c>
      <c r="E9" s="19" t="inlineStr">
        <is>
          <t>High</t>
        </is>
      </c>
      <c r="F9" s="23" t="inlineStr">
        <is>
          <t>Step 5 is done. You can sign in as a Kế toán user.</t>
        </is>
      </c>
      <c r="G9" s="23" t="inlineStr">
        <is>
          <t>1. Try to issue the invoice as the SALES user — it must be refused.
2. Sign in as Kế toán.
3. Issue the VAT e-invoice on the Active PO.
4. Read both invoice numbers and download the PDF.
5. Check the pipeline board and the customer status.</t>
        </is>
      </c>
      <c r="H9" s="23" t="inlineStr">
        <is>
          <t>-</t>
        </is>
      </c>
      <c r="I9" s="23" t="inlineStr">
        <is>
          <t>Sales cannot issue it. Kế toán can.
The invoice carries our INV-…-MM-YYYY number and the provider's legal number.
The deal closes and leaves the open board.
The customer status flips New → Existing.</t>
        </is>
      </c>
      <c r="J9" s="20" t="inlineStr"/>
      <c r="K9" s="21" t="inlineStr"/>
      <c r="L9" s="20" t="inlineStr"/>
      <c r="M9" s="21" t="inlineStr"/>
      <c r="N9" s="20" t="inlineStr"/>
    </row>
    <row r="10" ht="67.5" customHeight="1">
      <c r="A10" s="17" t="inlineStr">
        <is>
          <t>AD-10-07</t>
        </is>
      </c>
      <c r="B10" s="6" t="inlineStr">
        <is>
          <t>End to end</t>
        </is>
      </c>
      <c r="C10" s="6" t="inlineStr">
        <is>
          <t>STEP 7 — Check the products landed on the company</t>
        </is>
      </c>
      <c r="D10" s="18" t="inlineStr">
        <is>
          <t>Positive</t>
        </is>
      </c>
      <c r="E10" s="19" t="inlineStr">
        <is>
          <t>High</t>
        </is>
      </c>
      <c r="F10" s="6" t="inlineStr">
        <is>
          <t>Step 6 is done.</t>
        </is>
      </c>
      <c r="G10" s="6" t="inlineStr">
        <is>
          <t>1. Refresh the company detail → Products &amp; billing.
2. Read Purchased and Quota in use.
3. Read the 'Activate by' date.
4. Check a company account and a first HR Manager login were created.
5. Check the public company page now exists.</t>
        </is>
      </c>
      <c r="H10" s="6" t="inlineStr">
        <is>
          <t>-</t>
        </is>
      </c>
      <c r="I10" s="6" t="inlineStr">
        <is>
          <t>10 Basic slots and 50 CV unlocks are shown as usable quota, immediately.
'Activate by' = the invoice date + 12 months.
The account, the first login and the company page all exist.
An activation email reached the contact.</t>
        </is>
      </c>
      <c r="J10" s="20" t="inlineStr"/>
      <c r="K10" s="21" t="inlineStr"/>
      <c r="L10" s="20" t="inlineStr"/>
      <c r="M10" s="21" t="inlineStr"/>
      <c r="N10" s="20" t="inlineStr"/>
    </row>
    <row r="11" ht="67.5" customHeight="1">
      <c r="A11" s="22" t="inlineStr">
        <is>
          <t>AD-10-08</t>
        </is>
      </c>
      <c r="B11" s="23" t="inlineStr">
        <is>
          <t>End to end</t>
        </is>
      </c>
      <c r="C11" s="23" t="inlineStr">
        <is>
          <t>STEP 8 — The company user posts a job</t>
        </is>
      </c>
      <c r="D11" s="18" t="inlineStr">
        <is>
          <t>Positive</t>
        </is>
      </c>
      <c r="E11" s="19" t="inlineStr">
        <is>
          <t>High</t>
        </is>
      </c>
      <c r="F11" s="23" t="inlineStr">
        <is>
          <t>Step 7 is done and the first company user has activated their login.</t>
        </is>
      </c>
      <c r="G11" s="23" t="inlineStr">
        <is>
          <t>1. Sign in to the Company site as that user.
2. Create a job: bilingual title and content, work type + contract type, an office from the office book, 3 benefits, 5 skills, a salary range, a contact person and a recipient email you can open.
3. Choose the JOB-E2E01 product.
4. Publish with 'Post now'.
5. Check the remaining quota.</t>
        </is>
      </c>
      <c r="H11" s="23" t="inlineStr">
        <is>
          <t>-</t>
        </is>
      </c>
      <c r="I11" s="23" t="inlineStr">
        <is>
          <t>The job publishes immediately with NO approval step.
Status is Open, Exposure On.
The remaining Basic quota drops from 10 to 9.</t>
        </is>
      </c>
      <c r="J11" s="20" t="inlineStr"/>
      <c r="K11" s="21" t="inlineStr"/>
      <c r="L11" s="20" t="inlineStr"/>
      <c r="M11" s="21" t="inlineStr"/>
      <c r="N11" s="20" t="inlineStr"/>
    </row>
    <row r="12" ht="81" customHeight="1">
      <c r="A12" s="17" t="inlineStr">
        <is>
          <t>AD-10-09</t>
        </is>
      </c>
      <c r="B12" s="6" t="inlineStr">
        <is>
          <t>End to end</t>
        </is>
      </c>
      <c r="C12" s="6" t="inlineStr">
        <is>
          <t>STEP 9 — The job shows up for jobseekers</t>
        </is>
      </c>
      <c r="D12" s="18" t="inlineStr">
        <is>
          <t>Positive</t>
        </is>
      </c>
      <c r="E12" s="19" t="inlineStr">
        <is>
          <t>High</t>
        </is>
      </c>
      <c r="F12" s="6" t="inlineStr">
        <is>
          <t>Step 8 is done.</t>
        </is>
      </c>
      <c r="G12" s="6" t="inlineStr">
        <is>
          <t>1. Open the jobseeker site in another browser, logged out.
2. Look for the job on the homepage.
3. Search for its title.
4. Filter by its province, its category and its salary range.
5. Open the job detail and read every block.
6. Click through to the company page.</t>
        </is>
      </c>
      <c r="H12" s="6" t="inlineStr">
        <is>
          <t>-</t>
        </is>
      </c>
      <c r="I12" s="6" t="inlineStr">
        <is>
          <t>The job is on the homepage / in search, is found by all three filters, and the job detail matches what was entered.
Both benefit blocks are shown (position-specific and company-general).
The company page opens.</t>
        </is>
      </c>
      <c r="J12" s="20" t="inlineStr"/>
      <c r="K12" s="21" t="inlineStr"/>
      <c r="L12" s="20" t="inlineStr"/>
      <c r="M12" s="21" t="inlineStr"/>
      <c r="N12" s="20" t="inlineStr"/>
    </row>
    <row r="13" ht="67.5" customHeight="1">
      <c r="A13" s="22" t="inlineStr">
        <is>
          <t>AD-10-10</t>
        </is>
      </c>
      <c r="B13" s="23" t="inlineStr">
        <is>
          <t>End to end</t>
        </is>
      </c>
      <c r="C13" s="23" t="inlineStr">
        <is>
          <t>STEP 10 — A jobseeker applies and the employer receives it</t>
        </is>
      </c>
      <c r="D13" s="18" t="inlineStr">
        <is>
          <t>Positive</t>
        </is>
      </c>
      <c r="E13" s="19" t="inlineStr">
        <is>
          <t>High</t>
        </is>
      </c>
      <c r="F13" s="23" t="inlineStr">
        <is>
          <t>Step 9 is done. You have a jobseeker account with a CV (see File 1).</t>
        </is>
      </c>
      <c r="G13" s="23" t="inlineStr">
        <is>
          <t>1. Sign in as the jobseeker and apply to the job.
2. Sign in as the company user and open Recruiting → Applicants.
3. Move the candidate to Reviewing.
4. Sign back in as the jobseeker and open My applications.
5. Check the recipient mailbox for the notification.</t>
        </is>
      </c>
      <c r="H13" s="23" t="inlineStr">
        <is>
          <t>-</t>
        </is>
      </c>
      <c r="I13" s="23" t="inlineStr">
        <is>
          <t>The application is on the employer's board in the first stage, with the CV attached.
Moving to Reviewing changes what the candidate sees in My applications.
The recipient email received a notification.
The full chain — product → company → quotation → PO → invoice → quota → job → jobseeker → application — is proved.</t>
        </is>
      </c>
      <c r="J13" s="20" t="inlineStr"/>
      <c r="K13" s="21" t="inlineStr"/>
      <c r="L13" s="20" t="inlineStr"/>
      <c r="M13" s="21" t="inlineStr"/>
      <c r="N13" s="20" t="inlineStr"/>
    </row>
    <row r="14" ht="54" customHeight="1">
      <c r="A14" s="17" t="inlineStr">
        <is>
          <t>AD-10-11</t>
        </is>
      </c>
      <c r="B14" s="6" t="inlineStr">
        <is>
          <t>End to end</t>
        </is>
      </c>
      <c r="C14" s="6" t="inlineStr">
        <is>
          <t>STEP 11 — Prove that nothing skipped a step</t>
        </is>
      </c>
      <c r="D14" s="24" t="inlineStr">
        <is>
          <t>Negative</t>
        </is>
      </c>
      <c r="E14" s="19" t="inlineStr">
        <is>
          <t>High</t>
        </is>
      </c>
      <c r="F14" s="6" t="inlineStr">
        <is>
          <t>Steps 1–10 are done. Use a SECOND, fresh company for this test.</t>
        </is>
      </c>
      <c r="G14" s="6" t="inlineStr">
        <is>
          <t>1. Create company 2 and quote it, but do NOT issue a PO. Check Products &amp; billing.
2. Issue a PO but do NOT invoice. Check Products &amp; billing, and check whether a company login exists.
3. Try to post a job for company 2 from the Company site.</t>
        </is>
      </c>
      <c r="H14" s="6" t="inlineStr">
        <is>
          <t>A second fresh company</t>
        </is>
      </c>
      <c r="I14" s="6" t="inlineStr">
        <is>
          <t>After the quotation: nothing provisioned.
After the PO: still nothing provisioned, no account, no login, no company page.
No job can be posted from the Company site.
Only the invoice releases the product — if quota appeared at any earlier point, mark Fail.</t>
        </is>
      </c>
      <c r="J14" s="20" t="inlineStr"/>
      <c r="K14" s="21" t="inlineStr"/>
      <c r="L14" s="20" t="inlineStr"/>
      <c r="M14" s="21" t="inlineStr"/>
      <c r="N14" s="20" t="inlineStr"/>
    </row>
    <row r="15" ht="81" customHeight="1">
      <c r="A15" s="22" t="inlineStr">
        <is>
          <t>AD-10-12</t>
        </is>
      </c>
      <c r="B15" s="23" t="inlineStr">
        <is>
          <t>End to end</t>
        </is>
      </c>
      <c r="C15" s="23" t="inlineStr">
        <is>
          <t>STEP 12 — Undo the sale by cancelling the invoice</t>
        </is>
      </c>
      <c r="D15" s="26" t="inlineStr">
        <is>
          <t>Edge</t>
        </is>
      </c>
      <c r="E15" s="19" t="inlineStr">
        <is>
          <t>High</t>
        </is>
      </c>
      <c r="F15" s="23" t="inlineStr">
        <is>
          <t>Use a THIRD company that has been invoiced but has NOT used any quota yet.</t>
        </is>
      </c>
      <c r="G15" s="23" t="inlineStr">
        <is>
          <t>1. Note its quota and confirm it can post a job.
2. Sign in as Kế toán and cancel the invoice with a reason.
3. Check the quota.
4. Try to post a job as that company.
5. Check the PO's status.
6. Look for a cancel action on the PO itself.</t>
        </is>
      </c>
      <c r="H15" s="23" t="inlineStr">
        <is>
          <t>A third invoiced company, quota unused</t>
        </is>
      </c>
      <c r="I15" s="23" t="inlineStr">
        <is>
          <t>The quota is withdrawn and the company can no longer post.
The PO still reads 'Issued invoice' and points at a cancelled invoice — it is NOT a cancelled PO.
There is no cancel action on the PO at all.
Both invoices (cancelled and any replacement) stay on record, linked.</t>
        </is>
      </c>
      <c r="J15" s="20" t="inlineStr"/>
      <c r="K15" s="21" t="inlineStr"/>
      <c r="L15" s="20" t="inlineStr"/>
      <c r="M15" s="21" t="inlineStr"/>
      <c r="N15" s="20" t="inlineStr"/>
    </row>
  </sheetData>
  <autoFilter ref="A3:N15"/>
  <mergeCells count="2">
    <mergeCell ref="A2:N2"/>
    <mergeCell ref="A1:N1"/>
  </mergeCells>
  <dataValidations count="1">
    <dataValidation sqref="K4:K15" showDropDown="0" showInputMessage="0" showErrorMessage="0" allowBlank="1" error="Choose Pass, Fail, Blocked or Not Run." prompt="Choose Pass, Fail, Blocked or Not Run." type="list">
      <formula1>"Pass,Fail,Blocked,Not Run"</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L204"/>
  <sheetViews>
    <sheetView showGridLines="0" workbookViewId="0">
      <pane ySplit="3" topLeftCell="A4" activePane="bottomLeft" state="frozen"/>
      <selection pane="bottomLeft" activeCell="A1" sqref="A1"/>
    </sheetView>
  </sheetViews>
  <sheetFormatPr baseColWidth="8" defaultRowHeight="15"/>
  <cols>
    <col width="12" customWidth="1" min="1" max="1"/>
    <col width="14" customWidth="1" min="2" max="2"/>
    <col width="22" customWidth="1" min="3" max="3"/>
    <col width="42" customWidth="1" min="4" max="4"/>
    <col width="52" customWidth="1" min="5" max="5"/>
    <col width="34" customWidth="1" min="6" max="6"/>
    <col width="34" customWidth="1" min="7" max="7"/>
    <col width="12" customWidth="1" min="8" max="8"/>
    <col width="16" customWidth="1" min="9" max="9"/>
    <col width="14" customWidth="1" min="10" max="10"/>
    <col width="12" customWidth="1" min="11" max="11"/>
    <col width="14" customWidth="1" min="12" max="12"/>
  </cols>
  <sheetData>
    <row r="1">
      <c r="A1" s="16" t="inlineStr">
        <is>
          <t>Bug log — one row per Fail</t>
        </is>
      </c>
    </row>
    <row r="2" ht="24" customHeight="1">
      <c r="A2" s="8" t="inlineStr">
        <is>
          <t>Raise a bug for every test case you marked Fail. Bug ID can be anything simple and unique, e.g. BUG-001. Copy the Test Case ID across so the developer can read the full case.</t>
        </is>
      </c>
    </row>
    <row r="3" ht="28" customHeight="1">
      <c r="A3" s="9" t="inlineStr">
        <is>
          <t>Bug ID</t>
        </is>
      </c>
      <c r="B3" s="9" t="inlineStr">
        <is>
          <t>Test Case ID</t>
        </is>
      </c>
      <c r="C3" s="9" t="inlineStr">
        <is>
          <t>Screen</t>
        </is>
      </c>
      <c r="D3" s="9" t="inlineStr">
        <is>
          <t>Bug Title (one line)</t>
        </is>
      </c>
      <c r="E3" s="9" t="inlineStr">
        <is>
          <t>Steps to reproduce</t>
        </is>
      </c>
      <c r="F3" s="9" t="inlineStr">
        <is>
          <t>Expected</t>
        </is>
      </c>
      <c r="G3" s="9" t="inlineStr">
        <is>
          <t>Actual</t>
        </is>
      </c>
      <c r="H3" s="9" t="inlineStr">
        <is>
          <t>Severity</t>
        </is>
      </c>
      <c r="I3" s="9" t="inlineStr">
        <is>
          <t>Screenshot attached?</t>
        </is>
      </c>
      <c r="J3" s="9" t="inlineStr">
        <is>
          <t>Reported by</t>
        </is>
      </c>
      <c r="K3" s="9" t="inlineStr">
        <is>
          <t>Date</t>
        </is>
      </c>
      <c r="L3" s="9" t="inlineStr">
        <is>
          <t>Status</t>
        </is>
      </c>
    </row>
    <row r="4" ht="60" customHeight="1">
      <c r="A4" s="28" t="inlineStr">
        <is>
          <t>BUG-001</t>
        </is>
      </c>
      <c r="B4" s="28" t="inlineStr">
        <is>
          <t>JS-01-02</t>
        </is>
      </c>
      <c r="C4" s="28" t="inlineStr">
        <is>
          <t>Sign up</t>
        </is>
      </c>
      <c r="D4" s="28" t="inlineStr">
        <is>
          <t>EXAMPLE ROW — delete before use: verification email never arrives</t>
        </is>
      </c>
      <c r="E4" s="28" t="inlineStr">
        <is>
          <t>1. Open Sign up.
2. Fill valid data.
3. Press Create account.
4. Check the inbox for 10 minutes.</t>
        </is>
      </c>
      <c r="F4" s="28" t="inlineStr">
        <is>
          <t>A verification email arrives within 2 minutes.</t>
        </is>
      </c>
      <c r="G4" s="28" t="inlineStr">
        <is>
          <t>No email arrives at all.</t>
        </is>
      </c>
      <c r="H4" s="28" t="inlineStr">
        <is>
          <t>High</t>
        </is>
      </c>
      <c r="I4" s="28" t="inlineStr">
        <is>
          <t>Yes</t>
        </is>
      </c>
      <c r="J4" s="28" t="inlineStr">
        <is>
          <t>Your name</t>
        </is>
      </c>
      <c r="K4" s="28" t="inlineStr">
        <is>
          <t>2026-08-12</t>
        </is>
      </c>
      <c r="L4" s="28" t="inlineStr">
        <is>
          <t>Open</t>
        </is>
      </c>
    </row>
    <row r="5">
      <c r="A5" s="6" t="n"/>
      <c r="B5" s="6" t="n"/>
      <c r="C5" s="6" t="n"/>
      <c r="D5" s="6" t="n"/>
      <c r="E5" s="6" t="n"/>
      <c r="F5" s="6" t="n"/>
      <c r="G5" s="6" t="n"/>
      <c r="H5" s="6" t="n"/>
      <c r="I5" s="6" t="n"/>
      <c r="J5" s="6" t="n"/>
      <c r="K5" s="6" t="n"/>
      <c r="L5" s="6" t="n"/>
    </row>
    <row r="6">
      <c r="A6" s="6" t="n"/>
      <c r="B6" s="6" t="n"/>
      <c r="C6" s="6" t="n"/>
      <c r="D6" s="6" t="n"/>
      <c r="E6" s="6" t="n"/>
      <c r="F6" s="6" t="n"/>
      <c r="G6" s="6" t="n"/>
      <c r="H6" s="6" t="n"/>
      <c r="I6" s="6" t="n"/>
      <c r="J6" s="6" t="n"/>
      <c r="K6" s="6" t="n"/>
      <c r="L6" s="6" t="n"/>
    </row>
    <row r="7">
      <c r="A7" s="6" t="n"/>
      <c r="B7" s="6" t="n"/>
      <c r="C7" s="6" t="n"/>
      <c r="D7" s="6" t="n"/>
      <c r="E7" s="6" t="n"/>
      <c r="F7" s="6" t="n"/>
      <c r="G7" s="6" t="n"/>
      <c r="H7" s="6" t="n"/>
      <c r="I7" s="6" t="n"/>
      <c r="J7" s="6" t="n"/>
      <c r="K7" s="6" t="n"/>
      <c r="L7" s="6" t="n"/>
    </row>
    <row r="8">
      <c r="A8" s="6" t="n"/>
      <c r="B8" s="6" t="n"/>
      <c r="C8" s="6" t="n"/>
      <c r="D8" s="6" t="n"/>
      <c r="E8" s="6" t="n"/>
      <c r="F8" s="6" t="n"/>
      <c r="G8" s="6" t="n"/>
      <c r="H8" s="6" t="n"/>
      <c r="I8" s="6" t="n"/>
      <c r="J8" s="6" t="n"/>
      <c r="K8" s="6" t="n"/>
      <c r="L8" s="6" t="n"/>
    </row>
    <row r="9">
      <c r="A9" s="6" t="n"/>
      <c r="B9" s="6" t="n"/>
      <c r="C9" s="6" t="n"/>
      <c r="D9" s="6" t="n"/>
      <c r="E9" s="6" t="n"/>
      <c r="F9" s="6" t="n"/>
      <c r="G9" s="6" t="n"/>
      <c r="H9" s="6" t="n"/>
      <c r="I9" s="6" t="n"/>
      <c r="J9" s="6" t="n"/>
      <c r="K9" s="6" t="n"/>
      <c r="L9" s="6" t="n"/>
    </row>
    <row r="10">
      <c r="A10" s="6" t="n"/>
      <c r="B10" s="6" t="n"/>
      <c r="C10" s="6" t="n"/>
      <c r="D10" s="6" t="n"/>
      <c r="E10" s="6" t="n"/>
      <c r="F10" s="6" t="n"/>
      <c r="G10" s="6" t="n"/>
      <c r="H10" s="6" t="n"/>
      <c r="I10" s="6" t="n"/>
      <c r="J10" s="6" t="n"/>
      <c r="K10" s="6" t="n"/>
      <c r="L10" s="6" t="n"/>
    </row>
    <row r="11">
      <c r="A11" s="6" t="n"/>
      <c r="B11" s="6" t="n"/>
      <c r="C11" s="6" t="n"/>
      <c r="D11" s="6" t="n"/>
      <c r="E11" s="6" t="n"/>
      <c r="F11" s="6" t="n"/>
      <c r="G11" s="6" t="n"/>
      <c r="H11" s="6" t="n"/>
      <c r="I11" s="6" t="n"/>
      <c r="J11" s="6" t="n"/>
      <c r="K11" s="6" t="n"/>
      <c r="L11" s="6" t="n"/>
    </row>
    <row r="12">
      <c r="A12" s="6" t="n"/>
      <c r="B12" s="6" t="n"/>
      <c r="C12" s="6" t="n"/>
      <c r="D12" s="6" t="n"/>
      <c r="E12" s="6" t="n"/>
      <c r="F12" s="6" t="n"/>
      <c r="G12" s="6" t="n"/>
      <c r="H12" s="6" t="n"/>
      <c r="I12" s="6" t="n"/>
      <c r="J12" s="6" t="n"/>
      <c r="K12" s="6" t="n"/>
      <c r="L12" s="6" t="n"/>
    </row>
    <row r="13">
      <c r="A13" s="6" t="n"/>
      <c r="B13" s="6" t="n"/>
      <c r="C13" s="6" t="n"/>
      <c r="D13" s="6" t="n"/>
      <c r="E13" s="6" t="n"/>
      <c r="F13" s="6" t="n"/>
      <c r="G13" s="6" t="n"/>
      <c r="H13" s="6" t="n"/>
      <c r="I13" s="6" t="n"/>
      <c r="J13" s="6" t="n"/>
      <c r="K13" s="6" t="n"/>
      <c r="L13" s="6" t="n"/>
    </row>
    <row r="14">
      <c r="A14" s="6" t="n"/>
      <c r="B14" s="6" t="n"/>
      <c r="C14" s="6" t="n"/>
      <c r="D14" s="6" t="n"/>
      <c r="E14" s="6" t="n"/>
      <c r="F14" s="6" t="n"/>
      <c r="G14" s="6" t="n"/>
      <c r="H14" s="6" t="n"/>
      <c r="I14" s="6" t="n"/>
      <c r="J14" s="6" t="n"/>
      <c r="K14" s="6" t="n"/>
      <c r="L14" s="6" t="n"/>
    </row>
    <row r="15">
      <c r="A15" s="6" t="n"/>
      <c r="B15" s="6" t="n"/>
      <c r="C15" s="6" t="n"/>
      <c r="D15" s="6" t="n"/>
      <c r="E15" s="6" t="n"/>
      <c r="F15" s="6" t="n"/>
      <c r="G15" s="6" t="n"/>
      <c r="H15" s="6" t="n"/>
      <c r="I15" s="6" t="n"/>
      <c r="J15" s="6" t="n"/>
      <c r="K15" s="6" t="n"/>
      <c r="L15" s="6" t="n"/>
    </row>
    <row r="16">
      <c r="A16" s="6" t="n"/>
      <c r="B16" s="6" t="n"/>
      <c r="C16" s="6" t="n"/>
      <c r="D16" s="6" t="n"/>
      <c r="E16" s="6" t="n"/>
      <c r="F16" s="6" t="n"/>
      <c r="G16" s="6" t="n"/>
      <c r="H16" s="6" t="n"/>
      <c r="I16" s="6" t="n"/>
      <c r="J16" s="6" t="n"/>
      <c r="K16" s="6" t="n"/>
      <c r="L16" s="6" t="n"/>
    </row>
    <row r="17">
      <c r="A17" s="6" t="n"/>
      <c r="B17" s="6" t="n"/>
      <c r="C17" s="6" t="n"/>
      <c r="D17" s="6" t="n"/>
      <c r="E17" s="6" t="n"/>
      <c r="F17" s="6" t="n"/>
      <c r="G17" s="6" t="n"/>
      <c r="H17" s="6" t="n"/>
      <c r="I17" s="6" t="n"/>
      <c r="J17" s="6" t="n"/>
      <c r="K17" s="6" t="n"/>
      <c r="L17" s="6" t="n"/>
    </row>
    <row r="18">
      <c r="A18" s="6" t="n"/>
      <c r="B18" s="6" t="n"/>
      <c r="C18" s="6" t="n"/>
      <c r="D18" s="6" t="n"/>
      <c r="E18" s="6" t="n"/>
      <c r="F18" s="6" t="n"/>
      <c r="G18" s="6" t="n"/>
      <c r="H18" s="6" t="n"/>
      <c r="I18" s="6" t="n"/>
      <c r="J18" s="6" t="n"/>
      <c r="K18" s="6" t="n"/>
      <c r="L18" s="6" t="n"/>
    </row>
    <row r="19">
      <c r="A19" s="6" t="n"/>
      <c r="B19" s="6" t="n"/>
      <c r="C19" s="6" t="n"/>
      <c r="D19" s="6" t="n"/>
      <c r="E19" s="6" t="n"/>
      <c r="F19" s="6" t="n"/>
      <c r="G19" s="6" t="n"/>
      <c r="H19" s="6" t="n"/>
      <c r="I19" s="6" t="n"/>
      <c r="J19" s="6" t="n"/>
      <c r="K19" s="6" t="n"/>
      <c r="L19" s="6" t="n"/>
    </row>
    <row r="20">
      <c r="A20" s="6" t="n"/>
      <c r="B20" s="6" t="n"/>
      <c r="C20" s="6" t="n"/>
      <c r="D20" s="6" t="n"/>
      <c r="E20" s="6" t="n"/>
      <c r="F20" s="6" t="n"/>
      <c r="G20" s="6" t="n"/>
      <c r="H20" s="6" t="n"/>
      <c r="I20" s="6" t="n"/>
      <c r="J20" s="6" t="n"/>
      <c r="K20" s="6" t="n"/>
      <c r="L20" s="6" t="n"/>
    </row>
    <row r="21">
      <c r="A21" s="6" t="n"/>
      <c r="B21" s="6" t="n"/>
      <c r="C21" s="6" t="n"/>
      <c r="D21" s="6" t="n"/>
      <c r="E21" s="6" t="n"/>
      <c r="F21" s="6" t="n"/>
      <c r="G21" s="6" t="n"/>
      <c r="H21" s="6" t="n"/>
      <c r="I21" s="6" t="n"/>
      <c r="J21" s="6" t="n"/>
      <c r="K21" s="6" t="n"/>
      <c r="L21" s="6" t="n"/>
    </row>
    <row r="22">
      <c r="A22" s="6" t="n"/>
      <c r="B22" s="6" t="n"/>
      <c r="C22" s="6" t="n"/>
      <c r="D22" s="6" t="n"/>
      <c r="E22" s="6" t="n"/>
      <c r="F22" s="6" t="n"/>
      <c r="G22" s="6" t="n"/>
      <c r="H22" s="6" t="n"/>
      <c r="I22" s="6" t="n"/>
      <c r="J22" s="6" t="n"/>
      <c r="K22" s="6" t="n"/>
      <c r="L22" s="6" t="n"/>
    </row>
    <row r="23">
      <c r="A23" s="6" t="n"/>
      <c r="B23" s="6" t="n"/>
      <c r="C23" s="6" t="n"/>
      <c r="D23" s="6" t="n"/>
      <c r="E23" s="6" t="n"/>
      <c r="F23" s="6" t="n"/>
      <c r="G23" s="6" t="n"/>
      <c r="H23" s="6" t="n"/>
      <c r="I23" s="6" t="n"/>
      <c r="J23" s="6" t="n"/>
      <c r="K23" s="6" t="n"/>
      <c r="L23" s="6" t="n"/>
    </row>
    <row r="24">
      <c r="A24" s="6" t="n"/>
      <c r="B24" s="6" t="n"/>
      <c r="C24" s="6" t="n"/>
      <c r="D24" s="6" t="n"/>
      <c r="E24" s="6" t="n"/>
      <c r="F24" s="6" t="n"/>
      <c r="G24" s="6" t="n"/>
      <c r="H24" s="6" t="n"/>
      <c r="I24" s="6" t="n"/>
      <c r="J24" s="6" t="n"/>
      <c r="K24" s="6" t="n"/>
      <c r="L24" s="6" t="n"/>
    </row>
    <row r="25">
      <c r="A25" s="6" t="n"/>
      <c r="B25" s="6" t="n"/>
      <c r="C25" s="6" t="n"/>
      <c r="D25" s="6" t="n"/>
      <c r="E25" s="6" t="n"/>
      <c r="F25" s="6" t="n"/>
      <c r="G25" s="6" t="n"/>
      <c r="H25" s="6" t="n"/>
      <c r="I25" s="6" t="n"/>
      <c r="J25" s="6" t="n"/>
      <c r="K25" s="6" t="n"/>
      <c r="L25" s="6" t="n"/>
    </row>
    <row r="26">
      <c r="A26" s="6" t="n"/>
      <c r="B26" s="6" t="n"/>
      <c r="C26" s="6" t="n"/>
      <c r="D26" s="6" t="n"/>
      <c r="E26" s="6" t="n"/>
      <c r="F26" s="6" t="n"/>
      <c r="G26" s="6" t="n"/>
      <c r="H26" s="6" t="n"/>
      <c r="I26" s="6" t="n"/>
      <c r="J26" s="6" t="n"/>
      <c r="K26" s="6" t="n"/>
      <c r="L26" s="6" t="n"/>
    </row>
    <row r="27">
      <c r="A27" s="6" t="n"/>
      <c r="B27" s="6" t="n"/>
      <c r="C27" s="6" t="n"/>
      <c r="D27" s="6" t="n"/>
      <c r="E27" s="6" t="n"/>
      <c r="F27" s="6" t="n"/>
      <c r="G27" s="6" t="n"/>
      <c r="H27" s="6" t="n"/>
      <c r="I27" s="6" t="n"/>
      <c r="J27" s="6" t="n"/>
      <c r="K27" s="6" t="n"/>
      <c r="L27" s="6" t="n"/>
    </row>
    <row r="28">
      <c r="A28" s="6" t="n"/>
      <c r="B28" s="6" t="n"/>
      <c r="C28" s="6" t="n"/>
      <c r="D28" s="6" t="n"/>
      <c r="E28" s="6" t="n"/>
      <c r="F28" s="6" t="n"/>
      <c r="G28" s="6" t="n"/>
      <c r="H28" s="6" t="n"/>
      <c r="I28" s="6" t="n"/>
      <c r="J28" s="6" t="n"/>
      <c r="K28" s="6" t="n"/>
      <c r="L28" s="6" t="n"/>
    </row>
    <row r="29">
      <c r="A29" s="6" t="n"/>
      <c r="B29" s="6" t="n"/>
      <c r="C29" s="6" t="n"/>
      <c r="D29" s="6" t="n"/>
      <c r="E29" s="6" t="n"/>
      <c r="F29" s="6" t="n"/>
      <c r="G29" s="6" t="n"/>
      <c r="H29" s="6" t="n"/>
      <c r="I29" s="6" t="n"/>
      <c r="J29" s="6" t="n"/>
      <c r="K29" s="6" t="n"/>
      <c r="L29" s="6" t="n"/>
    </row>
    <row r="30">
      <c r="A30" s="6" t="n"/>
      <c r="B30" s="6" t="n"/>
      <c r="C30" s="6" t="n"/>
      <c r="D30" s="6" t="n"/>
      <c r="E30" s="6" t="n"/>
      <c r="F30" s="6" t="n"/>
      <c r="G30" s="6" t="n"/>
      <c r="H30" s="6" t="n"/>
      <c r="I30" s="6" t="n"/>
      <c r="J30" s="6" t="n"/>
      <c r="K30" s="6" t="n"/>
      <c r="L30" s="6" t="n"/>
    </row>
    <row r="31">
      <c r="A31" s="6" t="n"/>
      <c r="B31" s="6" t="n"/>
      <c r="C31" s="6" t="n"/>
      <c r="D31" s="6" t="n"/>
      <c r="E31" s="6" t="n"/>
      <c r="F31" s="6" t="n"/>
      <c r="G31" s="6" t="n"/>
      <c r="H31" s="6" t="n"/>
      <c r="I31" s="6" t="n"/>
      <c r="J31" s="6" t="n"/>
      <c r="K31" s="6" t="n"/>
      <c r="L31" s="6" t="n"/>
    </row>
    <row r="32">
      <c r="A32" s="6" t="n"/>
      <c r="B32" s="6" t="n"/>
      <c r="C32" s="6" t="n"/>
      <c r="D32" s="6" t="n"/>
      <c r="E32" s="6" t="n"/>
      <c r="F32" s="6" t="n"/>
      <c r="G32" s="6" t="n"/>
      <c r="H32" s="6" t="n"/>
      <c r="I32" s="6" t="n"/>
      <c r="J32" s="6" t="n"/>
      <c r="K32" s="6" t="n"/>
      <c r="L32" s="6" t="n"/>
    </row>
    <row r="33">
      <c r="A33" s="6" t="n"/>
      <c r="B33" s="6" t="n"/>
      <c r="C33" s="6" t="n"/>
      <c r="D33" s="6" t="n"/>
      <c r="E33" s="6" t="n"/>
      <c r="F33" s="6" t="n"/>
      <c r="G33" s="6" t="n"/>
      <c r="H33" s="6" t="n"/>
      <c r="I33" s="6" t="n"/>
      <c r="J33" s="6" t="n"/>
      <c r="K33" s="6" t="n"/>
      <c r="L33" s="6" t="n"/>
    </row>
    <row r="34">
      <c r="A34" s="6" t="n"/>
      <c r="B34" s="6" t="n"/>
      <c r="C34" s="6" t="n"/>
      <c r="D34" s="6" t="n"/>
      <c r="E34" s="6" t="n"/>
      <c r="F34" s="6" t="n"/>
      <c r="G34" s="6" t="n"/>
      <c r="H34" s="6" t="n"/>
      <c r="I34" s="6" t="n"/>
      <c r="J34" s="6" t="n"/>
      <c r="K34" s="6" t="n"/>
      <c r="L34" s="6" t="n"/>
    </row>
    <row r="35">
      <c r="A35" s="6" t="n"/>
      <c r="B35" s="6" t="n"/>
      <c r="C35" s="6" t="n"/>
      <c r="D35" s="6" t="n"/>
      <c r="E35" s="6" t="n"/>
      <c r="F35" s="6" t="n"/>
      <c r="G35" s="6" t="n"/>
      <c r="H35" s="6" t="n"/>
      <c r="I35" s="6" t="n"/>
      <c r="J35" s="6" t="n"/>
      <c r="K35" s="6" t="n"/>
      <c r="L35" s="6" t="n"/>
    </row>
    <row r="36">
      <c r="A36" s="6" t="n"/>
      <c r="B36" s="6" t="n"/>
      <c r="C36" s="6" t="n"/>
      <c r="D36" s="6" t="n"/>
      <c r="E36" s="6" t="n"/>
      <c r="F36" s="6" t="n"/>
      <c r="G36" s="6" t="n"/>
      <c r="H36" s="6" t="n"/>
      <c r="I36" s="6" t="n"/>
      <c r="J36" s="6" t="n"/>
      <c r="K36" s="6" t="n"/>
      <c r="L36" s="6" t="n"/>
    </row>
    <row r="37">
      <c r="A37" s="6" t="n"/>
      <c r="B37" s="6" t="n"/>
      <c r="C37" s="6" t="n"/>
      <c r="D37" s="6" t="n"/>
      <c r="E37" s="6" t="n"/>
      <c r="F37" s="6" t="n"/>
      <c r="G37" s="6" t="n"/>
      <c r="H37" s="6" t="n"/>
      <c r="I37" s="6" t="n"/>
      <c r="J37" s="6" t="n"/>
      <c r="K37" s="6" t="n"/>
      <c r="L37" s="6" t="n"/>
    </row>
    <row r="38">
      <c r="A38" s="6" t="n"/>
      <c r="B38" s="6" t="n"/>
      <c r="C38" s="6" t="n"/>
      <c r="D38" s="6" t="n"/>
      <c r="E38" s="6" t="n"/>
      <c r="F38" s="6" t="n"/>
      <c r="G38" s="6" t="n"/>
      <c r="H38" s="6" t="n"/>
      <c r="I38" s="6" t="n"/>
      <c r="J38" s="6" t="n"/>
      <c r="K38" s="6" t="n"/>
      <c r="L38" s="6" t="n"/>
    </row>
    <row r="39">
      <c r="A39" s="6" t="n"/>
      <c r="B39" s="6" t="n"/>
      <c r="C39" s="6" t="n"/>
      <c r="D39" s="6" t="n"/>
      <c r="E39" s="6" t="n"/>
      <c r="F39" s="6" t="n"/>
      <c r="G39" s="6" t="n"/>
      <c r="H39" s="6" t="n"/>
      <c r="I39" s="6" t="n"/>
      <c r="J39" s="6" t="n"/>
      <c r="K39" s="6" t="n"/>
      <c r="L39" s="6" t="n"/>
    </row>
    <row r="40">
      <c r="A40" s="6" t="n"/>
      <c r="B40" s="6" t="n"/>
      <c r="C40" s="6" t="n"/>
      <c r="D40" s="6" t="n"/>
      <c r="E40" s="6" t="n"/>
      <c r="F40" s="6" t="n"/>
      <c r="G40" s="6" t="n"/>
      <c r="H40" s="6" t="n"/>
      <c r="I40" s="6" t="n"/>
      <c r="J40" s="6" t="n"/>
      <c r="K40" s="6" t="n"/>
      <c r="L40" s="6" t="n"/>
    </row>
    <row r="41">
      <c r="A41" s="6" t="n"/>
      <c r="B41" s="6" t="n"/>
      <c r="C41" s="6" t="n"/>
      <c r="D41" s="6" t="n"/>
      <c r="E41" s="6" t="n"/>
      <c r="F41" s="6" t="n"/>
      <c r="G41" s="6" t="n"/>
      <c r="H41" s="6" t="n"/>
      <c r="I41" s="6" t="n"/>
      <c r="J41" s="6" t="n"/>
      <c r="K41" s="6" t="n"/>
      <c r="L41" s="6" t="n"/>
    </row>
    <row r="42">
      <c r="A42" s="6" t="n"/>
      <c r="B42" s="6" t="n"/>
      <c r="C42" s="6" t="n"/>
      <c r="D42" s="6" t="n"/>
      <c r="E42" s="6" t="n"/>
      <c r="F42" s="6" t="n"/>
      <c r="G42" s="6" t="n"/>
      <c r="H42" s="6" t="n"/>
      <c r="I42" s="6" t="n"/>
      <c r="J42" s="6" t="n"/>
      <c r="K42" s="6" t="n"/>
      <c r="L42" s="6" t="n"/>
    </row>
    <row r="43">
      <c r="A43" s="6" t="n"/>
      <c r="B43" s="6" t="n"/>
      <c r="C43" s="6" t="n"/>
      <c r="D43" s="6" t="n"/>
      <c r="E43" s="6" t="n"/>
      <c r="F43" s="6" t="n"/>
      <c r="G43" s="6" t="n"/>
      <c r="H43" s="6" t="n"/>
      <c r="I43" s="6" t="n"/>
      <c r="J43" s="6" t="n"/>
      <c r="K43" s="6" t="n"/>
      <c r="L43" s="6" t="n"/>
    </row>
    <row r="44">
      <c r="A44" s="6" t="n"/>
      <c r="B44" s="6" t="n"/>
      <c r="C44" s="6" t="n"/>
      <c r="D44" s="6" t="n"/>
      <c r="E44" s="6" t="n"/>
      <c r="F44" s="6" t="n"/>
      <c r="G44" s="6" t="n"/>
      <c r="H44" s="6" t="n"/>
      <c r="I44" s="6" t="n"/>
      <c r="J44" s="6" t="n"/>
      <c r="K44" s="6" t="n"/>
      <c r="L44" s="6" t="n"/>
    </row>
    <row r="45">
      <c r="A45" s="6" t="n"/>
      <c r="B45" s="6" t="n"/>
      <c r="C45" s="6" t="n"/>
      <c r="D45" s="6" t="n"/>
      <c r="E45" s="6" t="n"/>
      <c r="F45" s="6" t="n"/>
      <c r="G45" s="6" t="n"/>
      <c r="H45" s="6" t="n"/>
      <c r="I45" s="6" t="n"/>
      <c r="J45" s="6" t="n"/>
      <c r="K45" s="6" t="n"/>
      <c r="L45" s="6" t="n"/>
    </row>
    <row r="46">
      <c r="A46" s="6" t="n"/>
      <c r="B46" s="6" t="n"/>
      <c r="C46" s="6" t="n"/>
      <c r="D46" s="6" t="n"/>
      <c r="E46" s="6" t="n"/>
      <c r="F46" s="6" t="n"/>
      <c r="G46" s="6" t="n"/>
      <c r="H46" s="6" t="n"/>
      <c r="I46" s="6" t="n"/>
      <c r="J46" s="6" t="n"/>
      <c r="K46" s="6" t="n"/>
      <c r="L46" s="6" t="n"/>
    </row>
    <row r="47">
      <c r="A47" s="6" t="n"/>
      <c r="B47" s="6" t="n"/>
      <c r="C47" s="6" t="n"/>
      <c r="D47" s="6" t="n"/>
      <c r="E47" s="6" t="n"/>
      <c r="F47" s="6" t="n"/>
      <c r="G47" s="6" t="n"/>
      <c r="H47" s="6" t="n"/>
      <c r="I47" s="6" t="n"/>
      <c r="J47" s="6" t="n"/>
      <c r="K47" s="6" t="n"/>
      <c r="L47" s="6" t="n"/>
    </row>
    <row r="48">
      <c r="A48" s="6" t="n"/>
      <c r="B48" s="6" t="n"/>
      <c r="C48" s="6" t="n"/>
      <c r="D48" s="6" t="n"/>
      <c r="E48" s="6" t="n"/>
      <c r="F48" s="6" t="n"/>
      <c r="G48" s="6" t="n"/>
      <c r="H48" s="6" t="n"/>
      <c r="I48" s="6" t="n"/>
      <c r="J48" s="6" t="n"/>
      <c r="K48" s="6" t="n"/>
      <c r="L48" s="6" t="n"/>
    </row>
    <row r="49">
      <c r="A49" s="6" t="n"/>
      <c r="B49" s="6" t="n"/>
      <c r="C49" s="6" t="n"/>
      <c r="D49" s="6" t="n"/>
      <c r="E49" s="6" t="n"/>
      <c r="F49" s="6" t="n"/>
      <c r="G49" s="6" t="n"/>
      <c r="H49" s="6" t="n"/>
      <c r="I49" s="6" t="n"/>
      <c r="J49" s="6" t="n"/>
      <c r="K49" s="6" t="n"/>
      <c r="L49" s="6" t="n"/>
    </row>
    <row r="50">
      <c r="A50" s="6" t="n"/>
      <c r="B50" s="6" t="n"/>
      <c r="C50" s="6" t="n"/>
      <c r="D50" s="6" t="n"/>
      <c r="E50" s="6" t="n"/>
      <c r="F50" s="6" t="n"/>
      <c r="G50" s="6" t="n"/>
      <c r="H50" s="6" t="n"/>
      <c r="I50" s="6" t="n"/>
      <c r="J50" s="6" t="n"/>
      <c r="K50" s="6" t="n"/>
      <c r="L50" s="6" t="n"/>
    </row>
    <row r="51">
      <c r="A51" s="6" t="n"/>
      <c r="B51" s="6" t="n"/>
      <c r="C51" s="6" t="n"/>
      <c r="D51" s="6" t="n"/>
      <c r="E51" s="6" t="n"/>
      <c r="F51" s="6" t="n"/>
      <c r="G51" s="6" t="n"/>
      <c r="H51" s="6" t="n"/>
      <c r="I51" s="6" t="n"/>
      <c r="J51" s="6" t="n"/>
      <c r="K51" s="6" t="n"/>
      <c r="L51" s="6" t="n"/>
    </row>
    <row r="52">
      <c r="A52" s="6" t="n"/>
      <c r="B52" s="6" t="n"/>
      <c r="C52" s="6" t="n"/>
      <c r="D52" s="6" t="n"/>
      <c r="E52" s="6" t="n"/>
      <c r="F52" s="6" t="n"/>
      <c r="G52" s="6" t="n"/>
      <c r="H52" s="6" t="n"/>
      <c r="I52" s="6" t="n"/>
      <c r="J52" s="6" t="n"/>
      <c r="K52" s="6" t="n"/>
      <c r="L52" s="6" t="n"/>
    </row>
    <row r="53">
      <c r="A53" s="6" t="n"/>
      <c r="B53" s="6" t="n"/>
      <c r="C53" s="6" t="n"/>
      <c r="D53" s="6" t="n"/>
      <c r="E53" s="6" t="n"/>
      <c r="F53" s="6" t="n"/>
      <c r="G53" s="6" t="n"/>
      <c r="H53" s="6" t="n"/>
      <c r="I53" s="6" t="n"/>
      <c r="J53" s="6" t="n"/>
      <c r="K53" s="6" t="n"/>
      <c r="L53" s="6" t="n"/>
    </row>
    <row r="54">
      <c r="A54" s="6" t="n"/>
      <c r="B54" s="6" t="n"/>
      <c r="C54" s="6" t="n"/>
      <c r="D54" s="6" t="n"/>
      <c r="E54" s="6" t="n"/>
      <c r="F54" s="6" t="n"/>
      <c r="G54" s="6" t="n"/>
      <c r="H54" s="6" t="n"/>
      <c r="I54" s="6" t="n"/>
      <c r="J54" s="6" t="n"/>
      <c r="K54" s="6" t="n"/>
      <c r="L54" s="6" t="n"/>
    </row>
    <row r="55">
      <c r="A55" s="6" t="n"/>
      <c r="B55" s="6" t="n"/>
      <c r="C55" s="6" t="n"/>
      <c r="D55" s="6" t="n"/>
      <c r="E55" s="6" t="n"/>
      <c r="F55" s="6" t="n"/>
      <c r="G55" s="6" t="n"/>
      <c r="H55" s="6" t="n"/>
      <c r="I55" s="6" t="n"/>
      <c r="J55" s="6" t="n"/>
      <c r="K55" s="6" t="n"/>
      <c r="L55" s="6" t="n"/>
    </row>
    <row r="56">
      <c r="A56" s="6" t="n"/>
      <c r="B56" s="6" t="n"/>
      <c r="C56" s="6" t="n"/>
      <c r="D56" s="6" t="n"/>
      <c r="E56" s="6" t="n"/>
      <c r="F56" s="6" t="n"/>
      <c r="G56" s="6" t="n"/>
      <c r="H56" s="6" t="n"/>
      <c r="I56" s="6" t="n"/>
      <c r="J56" s="6" t="n"/>
      <c r="K56" s="6" t="n"/>
      <c r="L56" s="6" t="n"/>
    </row>
    <row r="57">
      <c r="A57" s="6" t="n"/>
      <c r="B57" s="6" t="n"/>
      <c r="C57" s="6" t="n"/>
      <c r="D57" s="6" t="n"/>
      <c r="E57" s="6" t="n"/>
      <c r="F57" s="6" t="n"/>
      <c r="G57" s="6" t="n"/>
      <c r="H57" s="6" t="n"/>
      <c r="I57" s="6" t="n"/>
      <c r="J57" s="6" t="n"/>
      <c r="K57" s="6" t="n"/>
      <c r="L57" s="6" t="n"/>
    </row>
    <row r="58">
      <c r="A58" s="6" t="n"/>
      <c r="B58" s="6" t="n"/>
      <c r="C58" s="6" t="n"/>
      <c r="D58" s="6" t="n"/>
      <c r="E58" s="6" t="n"/>
      <c r="F58" s="6" t="n"/>
      <c r="G58" s="6" t="n"/>
      <c r="H58" s="6" t="n"/>
      <c r="I58" s="6" t="n"/>
      <c r="J58" s="6" t="n"/>
      <c r="K58" s="6" t="n"/>
      <c r="L58" s="6" t="n"/>
    </row>
    <row r="59">
      <c r="A59" s="6" t="n"/>
      <c r="B59" s="6" t="n"/>
      <c r="C59" s="6" t="n"/>
      <c r="D59" s="6" t="n"/>
      <c r="E59" s="6" t="n"/>
      <c r="F59" s="6" t="n"/>
      <c r="G59" s="6" t="n"/>
      <c r="H59" s="6" t="n"/>
      <c r="I59" s="6" t="n"/>
      <c r="J59" s="6" t="n"/>
      <c r="K59" s="6" t="n"/>
      <c r="L59" s="6" t="n"/>
    </row>
    <row r="60">
      <c r="A60" s="6" t="n"/>
      <c r="B60" s="6" t="n"/>
      <c r="C60" s="6" t="n"/>
      <c r="D60" s="6" t="n"/>
      <c r="E60" s="6" t="n"/>
      <c r="F60" s="6" t="n"/>
      <c r="G60" s="6" t="n"/>
      <c r="H60" s="6" t="n"/>
      <c r="I60" s="6" t="n"/>
      <c r="J60" s="6" t="n"/>
      <c r="K60" s="6" t="n"/>
      <c r="L60" s="6" t="n"/>
    </row>
    <row r="61">
      <c r="A61" s="6" t="n"/>
      <c r="B61" s="6" t="n"/>
      <c r="C61" s="6" t="n"/>
      <c r="D61" s="6" t="n"/>
      <c r="E61" s="6" t="n"/>
      <c r="F61" s="6" t="n"/>
      <c r="G61" s="6" t="n"/>
      <c r="H61" s="6" t="n"/>
      <c r="I61" s="6" t="n"/>
      <c r="J61" s="6" t="n"/>
      <c r="K61" s="6" t="n"/>
      <c r="L61" s="6" t="n"/>
    </row>
    <row r="62">
      <c r="A62" s="6" t="n"/>
      <c r="B62" s="6" t="n"/>
      <c r="C62" s="6" t="n"/>
      <c r="D62" s="6" t="n"/>
      <c r="E62" s="6" t="n"/>
      <c r="F62" s="6" t="n"/>
      <c r="G62" s="6" t="n"/>
      <c r="H62" s="6" t="n"/>
      <c r="I62" s="6" t="n"/>
      <c r="J62" s="6" t="n"/>
      <c r="K62" s="6" t="n"/>
      <c r="L62" s="6" t="n"/>
    </row>
    <row r="63">
      <c r="A63" s="6" t="n"/>
      <c r="B63" s="6" t="n"/>
      <c r="C63" s="6" t="n"/>
      <c r="D63" s="6" t="n"/>
      <c r="E63" s="6" t="n"/>
      <c r="F63" s="6" t="n"/>
      <c r="G63" s="6" t="n"/>
      <c r="H63" s="6" t="n"/>
      <c r="I63" s="6" t="n"/>
      <c r="J63" s="6" t="n"/>
      <c r="K63" s="6" t="n"/>
      <c r="L63" s="6" t="n"/>
    </row>
    <row r="64">
      <c r="A64" s="6" t="n"/>
      <c r="B64" s="6" t="n"/>
      <c r="C64" s="6" t="n"/>
      <c r="D64" s="6" t="n"/>
      <c r="E64" s="6" t="n"/>
      <c r="F64" s="6" t="n"/>
      <c r="G64" s="6" t="n"/>
      <c r="H64" s="6" t="n"/>
      <c r="I64" s="6" t="n"/>
      <c r="J64" s="6" t="n"/>
      <c r="K64" s="6" t="n"/>
      <c r="L64" s="6" t="n"/>
    </row>
    <row r="65">
      <c r="A65" s="6" t="n"/>
      <c r="B65" s="6" t="n"/>
      <c r="C65" s="6" t="n"/>
      <c r="D65" s="6" t="n"/>
      <c r="E65" s="6" t="n"/>
      <c r="F65" s="6" t="n"/>
      <c r="G65" s="6" t="n"/>
      <c r="H65" s="6" t="n"/>
      <c r="I65" s="6" t="n"/>
      <c r="J65" s="6" t="n"/>
      <c r="K65" s="6" t="n"/>
      <c r="L65" s="6" t="n"/>
    </row>
    <row r="66">
      <c r="A66" s="6" t="n"/>
      <c r="B66" s="6" t="n"/>
      <c r="C66" s="6" t="n"/>
      <c r="D66" s="6" t="n"/>
      <c r="E66" s="6" t="n"/>
      <c r="F66" s="6" t="n"/>
      <c r="G66" s="6" t="n"/>
      <c r="H66" s="6" t="n"/>
      <c r="I66" s="6" t="n"/>
      <c r="J66" s="6" t="n"/>
      <c r="K66" s="6" t="n"/>
      <c r="L66" s="6" t="n"/>
    </row>
    <row r="67">
      <c r="A67" s="6" t="n"/>
      <c r="B67" s="6" t="n"/>
      <c r="C67" s="6" t="n"/>
      <c r="D67" s="6" t="n"/>
      <c r="E67" s="6" t="n"/>
      <c r="F67" s="6" t="n"/>
      <c r="G67" s="6" t="n"/>
      <c r="H67" s="6" t="n"/>
      <c r="I67" s="6" t="n"/>
      <c r="J67" s="6" t="n"/>
      <c r="K67" s="6" t="n"/>
      <c r="L67" s="6" t="n"/>
    </row>
    <row r="68">
      <c r="A68" s="6" t="n"/>
      <c r="B68" s="6" t="n"/>
      <c r="C68" s="6" t="n"/>
      <c r="D68" s="6" t="n"/>
      <c r="E68" s="6" t="n"/>
      <c r="F68" s="6" t="n"/>
      <c r="G68" s="6" t="n"/>
      <c r="H68" s="6" t="n"/>
      <c r="I68" s="6" t="n"/>
      <c r="J68" s="6" t="n"/>
      <c r="K68" s="6" t="n"/>
      <c r="L68" s="6" t="n"/>
    </row>
    <row r="69">
      <c r="A69" s="6" t="n"/>
      <c r="B69" s="6" t="n"/>
      <c r="C69" s="6" t="n"/>
      <c r="D69" s="6" t="n"/>
      <c r="E69" s="6" t="n"/>
      <c r="F69" s="6" t="n"/>
      <c r="G69" s="6" t="n"/>
      <c r="H69" s="6" t="n"/>
      <c r="I69" s="6" t="n"/>
      <c r="J69" s="6" t="n"/>
      <c r="K69" s="6" t="n"/>
      <c r="L69" s="6" t="n"/>
    </row>
    <row r="70">
      <c r="A70" s="6" t="n"/>
      <c r="B70" s="6" t="n"/>
      <c r="C70" s="6" t="n"/>
      <c r="D70" s="6" t="n"/>
      <c r="E70" s="6" t="n"/>
      <c r="F70" s="6" t="n"/>
      <c r="G70" s="6" t="n"/>
      <c r="H70" s="6" t="n"/>
      <c r="I70" s="6" t="n"/>
      <c r="J70" s="6" t="n"/>
      <c r="K70" s="6" t="n"/>
      <c r="L70" s="6" t="n"/>
    </row>
    <row r="71">
      <c r="A71" s="6" t="n"/>
      <c r="B71" s="6" t="n"/>
      <c r="C71" s="6" t="n"/>
      <c r="D71" s="6" t="n"/>
      <c r="E71" s="6" t="n"/>
      <c r="F71" s="6" t="n"/>
      <c r="G71" s="6" t="n"/>
      <c r="H71" s="6" t="n"/>
      <c r="I71" s="6" t="n"/>
      <c r="J71" s="6" t="n"/>
      <c r="K71" s="6" t="n"/>
      <c r="L71" s="6" t="n"/>
    </row>
    <row r="72">
      <c r="A72" s="6" t="n"/>
      <c r="B72" s="6" t="n"/>
      <c r="C72" s="6" t="n"/>
      <c r="D72" s="6" t="n"/>
      <c r="E72" s="6" t="n"/>
      <c r="F72" s="6" t="n"/>
      <c r="G72" s="6" t="n"/>
      <c r="H72" s="6" t="n"/>
      <c r="I72" s="6" t="n"/>
      <c r="J72" s="6" t="n"/>
      <c r="K72" s="6" t="n"/>
      <c r="L72" s="6" t="n"/>
    </row>
    <row r="73">
      <c r="A73" s="6" t="n"/>
      <c r="B73" s="6" t="n"/>
      <c r="C73" s="6" t="n"/>
      <c r="D73" s="6" t="n"/>
      <c r="E73" s="6" t="n"/>
      <c r="F73" s="6" t="n"/>
      <c r="G73" s="6" t="n"/>
      <c r="H73" s="6" t="n"/>
      <c r="I73" s="6" t="n"/>
      <c r="J73" s="6" t="n"/>
      <c r="K73" s="6" t="n"/>
      <c r="L73" s="6" t="n"/>
    </row>
    <row r="74">
      <c r="A74" s="6" t="n"/>
      <c r="B74" s="6" t="n"/>
      <c r="C74" s="6" t="n"/>
      <c r="D74" s="6" t="n"/>
      <c r="E74" s="6" t="n"/>
      <c r="F74" s="6" t="n"/>
      <c r="G74" s="6" t="n"/>
      <c r="H74" s="6" t="n"/>
      <c r="I74" s="6" t="n"/>
      <c r="J74" s="6" t="n"/>
      <c r="K74" s="6" t="n"/>
      <c r="L74" s="6" t="n"/>
    </row>
    <row r="75">
      <c r="A75" s="6" t="n"/>
      <c r="B75" s="6" t="n"/>
      <c r="C75" s="6" t="n"/>
      <c r="D75" s="6" t="n"/>
      <c r="E75" s="6" t="n"/>
      <c r="F75" s="6" t="n"/>
      <c r="G75" s="6" t="n"/>
      <c r="H75" s="6" t="n"/>
      <c r="I75" s="6" t="n"/>
      <c r="J75" s="6" t="n"/>
      <c r="K75" s="6" t="n"/>
      <c r="L75" s="6" t="n"/>
    </row>
    <row r="76">
      <c r="A76" s="6" t="n"/>
      <c r="B76" s="6" t="n"/>
      <c r="C76" s="6" t="n"/>
      <c r="D76" s="6" t="n"/>
      <c r="E76" s="6" t="n"/>
      <c r="F76" s="6" t="n"/>
      <c r="G76" s="6" t="n"/>
      <c r="H76" s="6" t="n"/>
      <c r="I76" s="6" t="n"/>
      <c r="J76" s="6" t="n"/>
      <c r="K76" s="6" t="n"/>
      <c r="L76" s="6" t="n"/>
    </row>
    <row r="77">
      <c r="A77" s="6" t="n"/>
      <c r="B77" s="6" t="n"/>
      <c r="C77" s="6" t="n"/>
      <c r="D77" s="6" t="n"/>
      <c r="E77" s="6" t="n"/>
      <c r="F77" s="6" t="n"/>
      <c r="G77" s="6" t="n"/>
      <c r="H77" s="6" t="n"/>
      <c r="I77" s="6" t="n"/>
      <c r="J77" s="6" t="n"/>
      <c r="K77" s="6" t="n"/>
      <c r="L77" s="6" t="n"/>
    </row>
    <row r="78">
      <c r="A78" s="6" t="n"/>
      <c r="B78" s="6" t="n"/>
      <c r="C78" s="6" t="n"/>
      <c r="D78" s="6" t="n"/>
      <c r="E78" s="6" t="n"/>
      <c r="F78" s="6" t="n"/>
      <c r="G78" s="6" t="n"/>
      <c r="H78" s="6" t="n"/>
      <c r="I78" s="6" t="n"/>
      <c r="J78" s="6" t="n"/>
      <c r="K78" s="6" t="n"/>
      <c r="L78" s="6" t="n"/>
    </row>
    <row r="79">
      <c r="A79" s="6" t="n"/>
      <c r="B79" s="6" t="n"/>
      <c r="C79" s="6" t="n"/>
      <c r="D79" s="6" t="n"/>
      <c r="E79" s="6" t="n"/>
      <c r="F79" s="6" t="n"/>
      <c r="G79" s="6" t="n"/>
      <c r="H79" s="6" t="n"/>
      <c r="I79" s="6" t="n"/>
      <c r="J79" s="6" t="n"/>
      <c r="K79" s="6" t="n"/>
      <c r="L79" s="6" t="n"/>
    </row>
    <row r="80">
      <c r="A80" s="6" t="n"/>
      <c r="B80" s="6" t="n"/>
      <c r="C80" s="6" t="n"/>
      <c r="D80" s="6" t="n"/>
      <c r="E80" s="6" t="n"/>
      <c r="F80" s="6" t="n"/>
      <c r="G80" s="6" t="n"/>
      <c r="H80" s="6" t="n"/>
      <c r="I80" s="6" t="n"/>
      <c r="J80" s="6" t="n"/>
      <c r="K80" s="6" t="n"/>
      <c r="L80" s="6" t="n"/>
    </row>
    <row r="81">
      <c r="A81" s="6" t="n"/>
      <c r="B81" s="6" t="n"/>
      <c r="C81" s="6" t="n"/>
      <c r="D81" s="6" t="n"/>
      <c r="E81" s="6" t="n"/>
      <c r="F81" s="6" t="n"/>
      <c r="G81" s="6" t="n"/>
      <c r="H81" s="6" t="n"/>
      <c r="I81" s="6" t="n"/>
      <c r="J81" s="6" t="n"/>
      <c r="K81" s="6" t="n"/>
      <c r="L81" s="6" t="n"/>
    </row>
    <row r="82">
      <c r="A82" s="6" t="n"/>
      <c r="B82" s="6" t="n"/>
      <c r="C82" s="6" t="n"/>
      <c r="D82" s="6" t="n"/>
      <c r="E82" s="6" t="n"/>
      <c r="F82" s="6" t="n"/>
      <c r="G82" s="6" t="n"/>
      <c r="H82" s="6" t="n"/>
      <c r="I82" s="6" t="n"/>
      <c r="J82" s="6" t="n"/>
      <c r="K82" s="6" t="n"/>
      <c r="L82" s="6" t="n"/>
    </row>
    <row r="83">
      <c r="A83" s="6" t="n"/>
      <c r="B83" s="6" t="n"/>
      <c r="C83" s="6" t="n"/>
      <c r="D83" s="6" t="n"/>
      <c r="E83" s="6" t="n"/>
      <c r="F83" s="6" t="n"/>
      <c r="G83" s="6" t="n"/>
      <c r="H83" s="6" t="n"/>
      <c r="I83" s="6" t="n"/>
      <c r="J83" s="6" t="n"/>
      <c r="K83" s="6" t="n"/>
      <c r="L83" s="6" t="n"/>
    </row>
    <row r="84">
      <c r="A84" s="6" t="n"/>
      <c r="B84" s="6" t="n"/>
      <c r="C84" s="6" t="n"/>
      <c r="D84" s="6" t="n"/>
      <c r="E84" s="6" t="n"/>
      <c r="F84" s="6" t="n"/>
      <c r="G84" s="6" t="n"/>
      <c r="H84" s="6" t="n"/>
      <c r="I84" s="6" t="n"/>
      <c r="J84" s="6" t="n"/>
      <c r="K84" s="6" t="n"/>
      <c r="L84" s="6" t="n"/>
    </row>
    <row r="85">
      <c r="A85" s="6" t="n"/>
      <c r="B85" s="6" t="n"/>
      <c r="C85" s="6" t="n"/>
      <c r="D85" s="6" t="n"/>
      <c r="E85" s="6" t="n"/>
      <c r="F85" s="6" t="n"/>
      <c r="G85" s="6" t="n"/>
      <c r="H85" s="6" t="n"/>
      <c r="I85" s="6" t="n"/>
      <c r="J85" s="6" t="n"/>
      <c r="K85" s="6" t="n"/>
      <c r="L85" s="6" t="n"/>
    </row>
    <row r="86">
      <c r="A86" s="6" t="n"/>
      <c r="B86" s="6" t="n"/>
      <c r="C86" s="6" t="n"/>
      <c r="D86" s="6" t="n"/>
      <c r="E86" s="6" t="n"/>
      <c r="F86" s="6" t="n"/>
      <c r="G86" s="6" t="n"/>
      <c r="H86" s="6" t="n"/>
      <c r="I86" s="6" t="n"/>
      <c r="J86" s="6" t="n"/>
      <c r="K86" s="6" t="n"/>
      <c r="L86" s="6" t="n"/>
    </row>
    <row r="87">
      <c r="A87" s="6" t="n"/>
      <c r="B87" s="6" t="n"/>
      <c r="C87" s="6" t="n"/>
      <c r="D87" s="6" t="n"/>
      <c r="E87" s="6" t="n"/>
      <c r="F87" s="6" t="n"/>
      <c r="G87" s="6" t="n"/>
      <c r="H87" s="6" t="n"/>
      <c r="I87" s="6" t="n"/>
      <c r="J87" s="6" t="n"/>
      <c r="K87" s="6" t="n"/>
      <c r="L87" s="6" t="n"/>
    </row>
    <row r="88">
      <c r="A88" s="6" t="n"/>
      <c r="B88" s="6" t="n"/>
      <c r="C88" s="6" t="n"/>
      <c r="D88" s="6" t="n"/>
      <c r="E88" s="6" t="n"/>
      <c r="F88" s="6" t="n"/>
      <c r="G88" s="6" t="n"/>
      <c r="H88" s="6" t="n"/>
      <c r="I88" s="6" t="n"/>
      <c r="J88" s="6" t="n"/>
      <c r="K88" s="6" t="n"/>
      <c r="L88" s="6" t="n"/>
    </row>
    <row r="89">
      <c r="A89" s="6" t="n"/>
      <c r="B89" s="6" t="n"/>
      <c r="C89" s="6" t="n"/>
      <c r="D89" s="6" t="n"/>
      <c r="E89" s="6" t="n"/>
      <c r="F89" s="6" t="n"/>
      <c r="G89" s="6" t="n"/>
      <c r="H89" s="6" t="n"/>
      <c r="I89" s="6" t="n"/>
      <c r="J89" s="6" t="n"/>
      <c r="K89" s="6" t="n"/>
      <c r="L89" s="6" t="n"/>
    </row>
    <row r="90">
      <c r="A90" s="6" t="n"/>
      <c r="B90" s="6" t="n"/>
      <c r="C90" s="6" t="n"/>
      <c r="D90" s="6" t="n"/>
      <c r="E90" s="6" t="n"/>
      <c r="F90" s="6" t="n"/>
      <c r="G90" s="6" t="n"/>
      <c r="H90" s="6" t="n"/>
      <c r="I90" s="6" t="n"/>
      <c r="J90" s="6" t="n"/>
      <c r="K90" s="6" t="n"/>
      <c r="L90" s="6" t="n"/>
    </row>
    <row r="91">
      <c r="A91" s="6" t="n"/>
      <c r="B91" s="6" t="n"/>
      <c r="C91" s="6" t="n"/>
      <c r="D91" s="6" t="n"/>
      <c r="E91" s="6" t="n"/>
      <c r="F91" s="6" t="n"/>
      <c r="G91" s="6" t="n"/>
      <c r="H91" s="6" t="n"/>
      <c r="I91" s="6" t="n"/>
      <c r="J91" s="6" t="n"/>
      <c r="K91" s="6" t="n"/>
      <c r="L91" s="6" t="n"/>
    </row>
    <row r="92">
      <c r="A92" s="6" t="n"/>
      <c r="B92" s="6" t="n"/>
      <c r="C92" s="6" t="n"/>
      <c r="D92" s="6" t="n"/>
      <c r="E92" s="6" t="n"/>
      <c r="F92" s="6" t="n"/>
      <c r="G92" s="6" t="n"/>
      <c r="H92" s="6" t="n"/>
      <c r="I92" s="6" t="n"/>
      <c r="J92" s="6" t="n"/>
      <c r="K92" s="6" t="n"/>
      <c r="L92" s="6" t="n"/>
    </row>
    <row r="93">
      <c r="A93" s="6" t="n"/>
      <c r="B93" s="6" t="n"/>
      <c r="C93" s="6" t="n"/>
      <c r="D93" s="6" t="n"/>
      <c r="E93" s="6" t="n"/>
      <c r="F93" s="6" t="n"/>
      <c r="G93" s="6" t="n"/>
      <c r="H93" s="6" t="n"/>
      <c r="I93" s="6" t="n"/>
      <c r="J93" s="6" t="n"/>
      <c r="K93" s="6" t="n"/>
      <c r="L93" s="6" t="n"/>
    </row>
    <row r="94">
      <c r="A94" s="6" t="n"/>
      <c r="B94" s="6" t="n"/>
      <c r="C94" s="6" t="n"/>
      <c r="D94" s="6" t="n"/>
      <c r="E94" s="6" t="n"/>
      <c r="F94" s="6" t="n"/>
      <c r="G94" s="6" t="n"/>
      <c r="H94" s="6" t="n"/>
      <c r="I94" s="6" t="n"/>
      <c r="J94" s="6" t="n"/>
      <c r="K94" s="6" t="n"/>
      <c r="L94" s="6" t="n"/>
    </row>
    <row r="95">
      <c r="A95" s="6" t="n"/>
      <c r="B95" s="6" t="n"/>
      <c r="C95" s="6" t="n"/>
      <c r="D95" s="6" t="n"/>
      <c r="E95" s="6" t="n"/>
      <c r="F95" s="6" t="n"/>
      <c r="G95" s="6" t="n"/>
      <c r="H95" s="6" t="n"/>
      <c r="I95" s="6" t="n"/>
      <c r="J95" s="6" t="n"/>
      <c r="K95" s="6" t="n"/>
      <c r="L95" s="6" t="n"/>
    </row>
    <row r="96">
      <c r="A96" s="6" t="n"/>
      <c r="B96" s="6" t="n"/>
      <c r="C96" s="6" t="n"/>
      <c r="D96" s="6" t="n"/>
      <c r="E96" s="6" t="n"/>
      <c r="F96" s="6" t="n"/>
      <c r="G96" s="6" t="n"/>
      <c r="H96" s="6" t="n"/>
      <c r="I96" s="6" t="n"/>
      <c r="J96" s="6" t="n"/>
      <c r="K96" s="6" t="n"/>
      <c r="L96" s="6" t="n"/>
    </row>
    <row r="97">
      <c r="A97" s="6" t="n"/>
      <c r="B97" s="6" t="n"/>
      <c r="C97" s="6" t="n"/>
      <c r="D97" s="6" t="n"/>
      <c r="E97" s="6" t="n"/>
      <c r="F97" s="6" t="n"/>
      <c r="G97" s="6" t="n"/>
      <c r="H97" s="6" t="n"/>
      <c r="I97" s="6" t="n"/>
      <c r="J97" s="6" t="n"/>
      <c r="K97" s="6" t="n"/>
      <c r="L97" s="6" t="n"/>
    </row>
    <row r="98">
      <c r="A98" s="6" t="n"/>
      <c r="B98" s="6" t="n"/>
      <c r="C98" s="6" t="n"/>
      <c r="D98" s="6" t="n"/>
      <c r="E98" s="6" t="n"/>
      <c r="F98" s="6" t="n"/>
      <c r="G98" s="6" t="n"/>
      <c r="H98" s="6" t="n"/>
      <c r="I98" s="6" t="n"/>
      <c r="J98" s="6" t="n"/>
      <c r="K98" s="6" t="n"/>
      <c r="L98" s="6" t="n"/>
    </row>
    <row r="99">
      <c r="A99" s="6" t="n"/>
      <c r="B99" s="6" t="n"/>
      <c r="C99" s="6" t="n"/>
      <c r="D99" s="6" t="n"/>
      <c r="E99" s="6" t="n"/>
      <c r="F99" s="6" t="n"/>
      <c r="G99" s="6" t="n"/>
      <c r="H99" s="6" t="n"/>
      <c r="I99" s="6" t="n"/>
      <c r="J99" s="6" t="n"/>
      <c r="K99" s="6" t="n"/>
      <c r="L99" s="6" t="n"/>
    </row>
    <row r="100">
      <c r="A100" s="6" t="n"/>
      <c r="B100" s="6" t="n"/>
      <c r="C100" s="6" t="n"/>
      <c r="D100" s="6" t="n"/>
      <c r="E100" s="6" t="n"/>
      <c r="F100" s="6" t="n"/>
      <c r="G100" s="6" t="n"/>
      <c r="H100" s="6" t="n"/>
      <c r="I100" s="6" t="n"/>
      <c r="J100" s="6" t="n"/>
      <c r="K100" s="6" t="n"/>
      <c r="L100" s="6" t="n"/>
    </row>
    <row r="101">
      <c r="A101" s="6" t="n"/>
      <c r="B101" s="6" t="n"/>
      <c r="C101" s="6" t="n"/>
      <c r="D101" s="6" t="n"/>
      <c r="E101" s="6" t="n"/>
      <c r="F101" s="6" t="n"/>
      <c r="G101" s="6" t="n"/>
      <c r="H101" s="6" t="n"/>
      <c r="I101" s="6" t="n"/>
      <c r="J101" s="6" t="n"/>
      <c r="K101" s="6" t="n"/>
      <c r="L101" s="6" t="n"/>
    </row>
    <row r="102">
      <c r="A102" s="6" t="n"/>
      <c r="B102" s="6" t="n"/>
      <c r="C102" s="6" t="n"/>
      <c r="D102" s="6" t="n"/>
      <c r="E102" s="6" t="n"/>
      <c r="F102" s="6" t="n"/>
      <c r="G102" s="6" t="n"/>
      <c r="H102" s="6" t="n"/>
      <c r="I102" s="6" t="n"/>
      <c r="J102" s="6" t="n"/>
      <c r="K102" s="6" t="n"/>
      <c r="L102" s="6" t="n"/>
    </row>
    <row r="103">
      <c r="A103" s="6" t="n"/>
      <c r="B103" s="6" t="n"/>
      <c r="C103" s="6" t="n"/>
      <c r="D103" s="6" t="n"/>
      <c r="E103" s="6" t="n"/>
      <c r="F103" s="6" t="n"/>
      <c r="G103" s="6" t="n"/>
      <c r="H103" s="6" t="n"/>
      <c r="I103" s="6" t="n"/>
      <c r="J103" s="6" t="n"/>
      <c r="K103" s="6" t="n"/>
      <c r="L103" s="6" t="n"/>
    </row>
    <row r="104">
      <c r="A104" s="6" t="n"/>
      <c r="B104" s="6" t="n"/>
      <c r="C104" s="6" t="n"/>
      <c r="D104" s="6" t="n"/>
      <c r="E104" s="6" t="n"/>
      <c r="F104" s="6" t="n"/>
      <c r="G104" s="6" t="n"/>
      <c r="H104" s="6" t="n"/>
      <c r="I104" s="6" t="n"/>
      <c r="J104" s="6" t="n"/>
      <c r="K104" s="6" t="n"/>
      <c r="L104" s="6" t="n"/>
    </row>
    <row r="105">
      <c r="A105" s="6" t="n"/>
      <c r="B105" s="6" t="n"/>
      <c r="C105" s="6" t="n"/>
      <c r="D105" s="6" t="n"/>
      <c r="E105" s="6" t="n"/>
      <c r="F105" s="6" t="n"/>
      <c r="G105" s="6" t="n"/>
      <c r="H105" s="6" t="n"/>
      <c r="I105" s="6" t="n"/>
      <c r="J105" s="6" t="n"/>
      <c r="K105" s="6" t="n"/>
      <c r="L105" s="6" t="n"/>
    </row>
    <row r="106">
      <c r="A106" s="6" t="n"/>
      <c r="B106" s="6" t="n"/>
      <c r="C106" s="6" t="n"/>
      <c r="D106" s="6" t="n"/>
      <c r="E106" s="6" t="n"/>
      <c r="F106" s="6" t="n"/>
      <c r="G106" s="6" t="n"/>
      <c r="H106" s="6" t="n"/>
      <c r="I106" s="6" t="n"/>
      <c r="J106" s="6" t="n"/>
      <c r="K106" s="6" t="n"/>
      <c r="L106" s="6" t="n"/>
    </row>
    <row r="107">
      <c r="A107" s="6" t="n"/>
      <c r="B107" s="6" t="n"/>
      <c r="C107" s="6" t="n"/>
      <c r="D107" s="6" t="n"/>
      <c r="E107" s="6" t="n"/>
      <c r="F107" s="6" t="n"/>
      <c r="G107" s="6" t="n"/>
      <c r="H107" s="6" t="n"/>
      <c r="I107" s="6" t="n"/>
      <c r="J107" s="6" t="n"/>
      <c r="K107" s="6" t="n"/>
      <c r="L107" s="6" t="n"/>
    </row>
    <row r="108">
      <c r="A108" s="6" t="n"/>
      <c r="B108" s="6" t="n"/>
      <c r="C108" s="6" t="n"/>
      <c r="D108" s="6" t="n"/>
      <c r="E108" s="6" t="n"/>
      <c r="F108" s="6" t="n"/>
      <c r="G108" s="6" t="n"/>
      <c r="H108" s="6" t="n"/>
      <c r="I108" s="6" t="n"/>
      <c r="J108" s="6" t="n"/>
      <c r="K108" s="6" t="n"/>
      <c r="L108" s="6" t="n"/>
    </row>
    <row r="109">
      <c r="A109" s="6" t="n"/>
      <c r="B109" s="6" t="n"/>
      <c r="C109" s="6" t="n"/>
      <c r="D109" s="6" t="n"/>
      <c r="E109" s="6" t="n"/>
      <c r="F109" s="6" t="n"/>
      <c r="G109" s="6" t="n"/>
      <c r="H109" s="6" t="n"/>
      <c r="I109" s="6" t="n"/>
      <c r="J109" s="6" t="n"/>
      <c r="K109" s="6" t="n"/>
      <c r="L109" s="6" t="n"/>
    </row>
    <row r="110">
      <c r="A110" s="6" t="n"/>
      <c r="B110" s="6" t="n"/>
      <c r="C110" s="6" t="n"/>
      <c r="D110" s="6" t="n"/>
      <c r="E110" s="6" t="n"/>
      <c r="F110" s="6" t="n"/>
      <c r="G110" s="6" t="n"/>
      <c r="H110" s="6" t="n"/>
      <c r="I110" s="6" t="n"/>
      <c r="J110" s="6" t="n"/>
      <c r="K110" s="6" t="n"/>
      <c r="L110" s="6" t="n"/>
    </row>
    <row r="111">
      <c r="A111" s="6" t="n"/>
      <c r="B111" s="6" t="n"/>
      <c r="C111" s="6" t="n"/>
      <c r="D111" s="6" t="n"/>
      <c r="E111" s="6" t="n"/>
      <c r="F111" s="6" t="n"/>
      <c r="G111" s="6" t="n"/>
      <c r="H111" s="6" t="n"/>
      <c r="I111" s="6" t="n"/>
      <c r="J111" s="6" t="n"/>
      <c r="K111" s="6" t="n"/>
      <c r="L111" s="6" t="n"/>
    </row>
    <row r="112">
      <c r="A112" s="6" t="n"/>
      <c r="B112" s="6" t="n"/>
      <c r="C112" s="6" t="n"/>
      <c r="D112" s="6" t="n"/>
      <c r="E112" s="6" t="n"/>
      <c r="F112" s="6" t="n"/>
      <c r="G112" s="6" t="n"/>
      <c r="H112" s="6" t="n"/>
      <c r="I112" s="6" t="n"/>
      <c r="J112" s="6" t="n"/>
      <c r="K112" s="6" t="n"/>
      <c r="L112" s="6" t="n"/>
    </row>
    <row r="113">
      <c r="A113" s="6" t="n"/>
      <c r="B113" s="6" t="n"/>
      <c r="C113" s="6" t="n"/>
      <c r="D113" s="6" t="n"/>
      <c r="E113" s="6" t="n"/>
      <c r="F113" s="6" t="n"/>
      <c r="G113" s="6" t="n"/>
      <c r="H113" s="6" t="n"/>
      <c r="I113" s="6" t="n"/>
      <c r="J113" s="6" t="n"/>
      <c r="K113" s="6" t="n"/>
      <c r="L113" s="6" t="n"/>
    </row>
    <row r="114">
      <c r="A114" s="6" t="n"/>
      <c r="B114" s="6" t="n"/>
      <c r="C114" s="6" t="n"/>
      <c r="D114" s="6" t="n"/>
      <c r="E114" s="6" t="n"/>
      <c r="F114" s="6" t="n"/>
      <c r="G114" s="6" t="n"/>
      <c r="H114" s="6" t="n"/>
      <c r="I114" s="6" t="n"/>
      <c r="J114" s="6" t="n"/>
      <c r="K114" s="6" t="n"/>
      <c r="L114" s="6" t="n"/>
    </row>
    <row r="115">
      <c r="A115" s="6" t="n"/>
      <c r="B115" s="6" t="n"/>
      <c r="C115" s="6" t="n"/>
      <c r="D115" s="6" t="n"/>
      <c r="E115" s="6" t="n"/>
      <c r="F115" s="6" t="n"/>
      <c r="G115" s="6" t="n"/>
      <c r="H115" s="6" t="n"/>
      <c r="I115" s="6" t="n"/>
      <c r="J115" s="6" t="n"/>
      <c r="K115" s="6" t="n"/>
      <c r="L115" s="6" t="n"/>
    </row>
    <row r="116">
      <c r="A116" s="6" t="n"/>
      <c r="B116" s="6" t="n"/>
      <c r="C116" s="6" t="n"/>
      <c r="D116" s="6" t="n"/>
      <c r="E116" s="6" t="n"/>
      <c r="F116" s="6" t="n"/>
      <c r="G116" s="6" t="n"/>
      <c r="H116" s="6" t="n"/>
      <c r="I116" s="6" t="n"/>
      <c r="J116" s="6" t="n"/>
      <c r="K116" s="6" t="n"/>
      <c r="L116" s="6" t="n"/>
    </row>
    <row r="117">
      <c r="A117" s="6" t="n"/>
      <c r="B117" s="6" t="n"/>
      <c r="C117" s="6" t="n"/>
      <c r="D117" s="6" t="n"/>
      <c r="E117" s="6" t="n"/>
      <c r="F117" s="6" t="n"/>
      <c r="G117" s="6" t="n"/>
      <c r="H117" s="6" t="n"/>
      <c r="I117" s="6" t="n"/>
      <c r="J117" s="6" t="n"/>
      <c r="K117" s="6" t="n"/>
      <c r="L117" s="6" t="n"/>
    </row>
    <row r="118">
      <c r="A118" s="6" t="n"/>
      <c r="B118" s="6" t="n"/>
      <c r="C118" s="6" t="n"/>
      <c r="D118" s="6" t="n"/>
      <c r="E118" s="6" t="n"/>
      <c r="F118" s="6" t="n"/>
      <c r="G118" s="6" t="n"/>
      <c r="H118" s="6" t="n"/>
      <c r="I118" s="6" t="n"/>
      <c r="J118" s="6" t="n"/>
      <c r="K118" s="6" t="n"/>
      <c r="L118" s="6" t="n"/>
    </row>
    <row r="119">
      <c r="A119" s="6" t="n"/>
      <c r="B119" s="6" t="n"/>
      <c r="C119" s="6" t="n"/>
      <c r="D119" s="6" t="n"/>
      <c r="E119" s="6" t="n"/>
      <c r="F119" s="6" t="n"/>
      <c r="G119" s="6" t="n"/>
      <c r="H119" s="6" t="n"/>
      <c r="I119" s="6" t="n"/>
      <c r="J119" s="6" t="n"/>
      <c r="K119" s="6" t="n"/>
      <c r="L119" s="6" t="n"/>
    </row>
    <row r="120">
      <c r="A120" s="6" t="n"/>
      <c r="B120" s="6" t="n"/>
      <c r="C120" s="6" t="n"/>
      <c r="D120" s="6" t="n"/>
      <c r="E120" s="6" t="n"/>
      <c r="F120" s="6" t="n"/>
      <c r="G120" s="6" t="n"/>
      <c r="H120" s="6" t="n"/>
      <c r="I120" s="6" t="n"/>
      <c r="J120" s="6" t="n"/>
      <c r="K120" s="6" t="n"/>
      <c r="L120" s="6" t="n"/>
    </row>
    <row r="121">
      <c r="A121" s="6" t="n"/>
      <c r="B121" s="6" t="n"/>
      <c r="C121" s="6" t="n"/>
      <c r="D121" s="6" t="n"/>
      <c r="E121" s="6" t="n"/>
      <c r="F121" s="6" t="n"/>
      <c r="G121" s="6" t="n"/>
      <c r="H121" s="6" t="n"/>
      <c r="I121" s="6" t="n"/>
      <c r="J121" s="6" t="n"/>
      <c r="K121" s="6" t="n"/>
      <c r="L121" s="6" t="n"/>
    </row>
    <row r="122">
      <c r="A122" s="6" t="n"/>
      <c r="B122" s="6" t="n"/>
      <c r="C122" s="6" t="n"/>
      <c r="D122" s="6" t="n"/>
      <c r="E122" s="6" t="n"/>
      <c r="F122" s="6" t="n"/>
      <c r="G122" s="6" t="n"/>
      <c r="H122" s="6" t="n"/>
      <c r="I122" s="6" t="n"/>
      <c r="J122" s="6" t="n"/>
      <c r="K122" s="6" t="n"/>
      <c r="L122" s="6" t="n"/>
    </row>
    <row r="123">
      <c r="A123" s="6" t="n"/>
      <c r="B123" s="6" t="n"/>
      <c r="C123" s="6" t="n"/>
      <c r="D123" s="6" t="n"/>
      <c r="E123" s="6" t="n"/>
      <c r="F123" s="6" t="n"/>
      <c r="G123" s="6" t="n"/>
      <c r="H123" s="6" t="n"/>
      <c r="I123" s="6" t="n"/>
      <c r="J123" s="6" t="n"/>
      <c r="K123" s="6" t="n"/>
      <c r="L123" s="6" t="n"/>
    </row>
    <row r="124">
      <c r="A124" s="6" t="n"/>
      <c r="B124" s="6" t="n"/>
      <c r="C124" s="6" t="n"/>
      <c r="D124" s="6" t="n"/>
      <c r="E124" s="6" t="n"/>
      <c r="F124" s="6" t="n"/>
      <c r="G124" s="6" t="n"/>
      <c r="H124" s="6" t="n"/>
      <c r="I124" s="6" t="n"/>
      <c r="J124" s="6" t="n"/>
      <c r="K124" s="6" t="n"/>
      <c r="L124" s="6" t="n"/>
    </row>
    <row r="125">
      <c r="A125" s="6" t="n"/>
      <c r="B125" s="6" t="n"/>
      <c r="C125" s="6" t="n"/>
      <c r="D125" s="6" t="n"/>
      <c r="E125" s="6" t="n"/>
      <c r="F125" s="6" t="n"/>
      <c r="G125" s="6" t="n"/>
      <c r="H125" s="6" t="n"/>
      <c r="I125" s="6" t="n"/>
      <c r="J125" s="6" t="n"/>
      <c r="K125" s="6" t="n"/>
      <c r="L125" s="6" t="n"/>
    </row>
    <row r="126">
      <c r="A126" s="6" t="n"/>
      <c r="B126" s="6" t="n"/>
      <c r="C126" s="6" t="n"/>
      <c r="D126" s="6" t="n"/>
      <c r="E126" s="6" t="n"/>
      <c r="F126" s="6" t="n"/>
      <c r="G126" s="6" t="n"/>
      <c r="H126" s="6" t="n"/>
      <c r="I126" s="6" t="n"/>
      <c r="J126" s="6" t="n"/>
      <c r="K126" s="6" t="n"/>
      <c r="L126" s="6" t="n"/>
    </row>
    <row r="127">
      <c r="A127" s="6" t="n"/>
      <c r="B127" s="6" t="n"/>
      <c r="C127" s="6" t="n"/>
      <c r="D127" s="6" t="n"/>
      <c r="E127" s="6" t="n"/>
      <c r="F127" s="6" t="n"/>
      <c r="G127" s="6" t="n"/>
      <c r="H127" s="6" t="n"/>
      <c r="I127" s="6" t="n"/>
      <c r="J127" s="6" t="n"/>
      <c r="K127" s="6" t="n"/>
      <c r="L127" s="6" t="n"/>
    </row>
    <row r="128">
      <c r="A128" s="6" t="n"/>
      <c r="B128" s="6" t="n"/>
      <c r="C128" s="6" t="n"/>
      <c r="D128" s="6" t="n"/>
      <c r="E128" s="6" t="n"/>
      <c r="F128" s="6" t="n"/>
      <c r="G128" s="6" t="n"/>
      <c r="H128" s="6" t="n"/>
      <c r="I128" s="6" t="n"/>
      <c r="J128" s="6" t="n"/>
      <c r="K128" s="6" t="n"/>
      <c r="L128" s="6" t="n"/>
    </row>
    <row r="129">
      <c r="A129" s="6" t="n"/>
      <c r="B129" s="6" t="n"/>
      <c r="C129" s="6" t="n"/>
      <c r="D129" s="6" t="n"/>
      <c r="E129" s="6" t="n"/>
      <c r="F129" s="6" t="n"/>
      <c r="G129" s="6" t="n"/>
      <c r="H129" s="6" t="n"/>
      <c r="I129" s="6" t="n"/>
      <c r="J129" s="6" t="n"/>
      <c r="K129" s="6" t="n"/>
      <c r="L129" s="6" t="n"/>
    </row>
    <row r="130">
      <c r="A130" s="6" t="n"/>
      <c r="B130" s="6" t="n"/>
      <c r="C130" s="6" t="n"/>
      <c r="D130" s="6" t="n"/>
      <c r="E130" s="6" t="n"/>
      <c r="F130" s="6" t="n"/>
      <c r="G130" s="6" t="n"/>
      <c r="H130" s="6" t="n"/>
      <c r="I130" s="6" t="n"/>
      <c r="J130" s="6" t="n"/>
      <c r="K130" s="6" t="n"/>
      <c r="L130" s="6" t="n"/>
    </row>
    <row r="131">
      <c r="A131" s="6" t="n"/>
      <c r="B131" s="6" t="n"/>
      <c r="C131" s="6" t="n"/>
      <c r="D131" s="6" t="n"/>
      <c r="E131" s="6" t="n"/>
      <c r="F131" s="6" t="n"/>
      <c r="G131" s="6" t="n"/>
      <c r="H131" s="6" t="n"/>
      <c r="I131" s="6" t="n"/>
      <c r="J131" s="6" t="n"/>
      <c r="K131" s="6" t="n"/>
      <c r="L131" s="6" t="n"/>
    </row>
    <row r="132">
      <c r="A132" s="6" t="n"/>
      <c r="B132" s="6" t="n"/>
      <c r="C132" s="6" t="n"/>
      <c r="D132" s="6" t="n"/>
      <c r="E132" s="6" t="n"/>
      <c r="F132" s="6" t="n"/>
      <c r="G132" s="6" t="n"/>
      <c r="H132" s="6" t="n"/>
      <c r="I132" s="6" t="n"/>
      <c r="J132" s="6" t="n"/>
      <c r="K132" s="6" t="n"/>
      <c r="L132" s="6" t="n"/>
    </row>
    <row r="133">
      <c r="A133" s="6" t="n"/>
      <c r="B133" s="6" t="n"/>
      <c r="C133" s="6" t="n"/>
      <c r="D133" s="6" t="n"/>
      <c r="E133" s="6" t="n"/>
      <c r="F133" s="6" t="n"/>
      <c r="G133" s="6" t="n"/>
      <c r="H133" s="6" t="n"/>
      <c r="I133" s="6" t="n"/>
      <c r="J133" s="6" t="n"/>
      <c r="K133" s="6" t="n"/>
      <c r="L133" s="6" t="n"/>
    </row>
    <row r="134">
      <c r="A134" s="6" t="n"/>
      <c r="B134" s="6" t="n"/>
      <c r="C134" s="6" t="n"/>
      <c r="D134" s="6" t="n"/>
      <c r="E134" s="6" t="n"/>
      <c r="F134" s="6" t="n"/>
      <c r="G134" s="6" t="n"/>
      <c r="H134" s="6" t="n"/>
      <c r="I134" s="6" t="n"/>
      <c r="J134" s="6" t="n"/>
      <c r="K134" s="6" t="n"/>
      <c r="L134" s="6" t="n"/>
    </row>
    <row r="135">
      <c r="A135" s="6" t="n"/>
      <c r="B135" s="6" t="n"/>
      <c r="C135" s="6" t="n"/>
      <c r="D135" s="6" t="n"/>
      <c r="E135" s="6" t="n"/>
      <c r="F135" s="6" t="n"/>
      <c r="G135" s="6" t="n"/>
      <c r="H135" s="6" t="n"/>
      <c r="I135" s="6" t="n"/>
      <c r="J135" s="6" t="n"/>
      <c r="K135" s="6" t="n"/>
      <c r="L135" s="6" t="n"/>
    </row>
    <row r="136">
      <c r="A136" s="6" t="n"/>
      <c r="B136" s="6" t="n"/>
      <c r="C136" s="6" t="n"/>
      <c r="D136" s="6" t="n"/>
      <c r="E136" s="6" t="n"/>
      <c r="F136" s="6" t="n"/>
      <c r="G136" s="6" t="n"/>
      <c r="H136" s="6" t="n"/>
      <c r="I136" s="6" t="n"/>
      <c r="J136" s="6" t="n"/>
      <c r="K136" s="6" t="n"/>
      <c r="L136" s="6" t="n"/>
    </row>
    <row r="137">
      <c r="A137" s="6" t="n"/>
      <c r="B137" s="6" t="n"/>
      <c r="C137" s="6" t="n"/>
      <c r="D137" s="6" t="n"/>
      <c r="E137" s="6" t="n"/>
      <c r="F137" s="6" t="n"/>
      <c r="G137" s="6" t="n"/>
      <c r="H137" s="6" t="n"/>
      <c r="I137" s="6" t="n"/>
      <c r="J137" s="6" t="n"/>
      <c r="K137" s="6" t="n"/>
      <c r="L137" s="6" t="n"/>
    </row>
    <row r="138">
      <c r="A138" s="6" t="n"/>
      <c r="B138" s="6" t="n"/>
      <c r="C138" s="6" t="n"/>
      <c r="D138" s="6" t="n"/>
      <c r="E138" s="6" t="n"/>
      <c r="F138" s="6" t="n"/>
      <c r="G138" s="6" t="n"/>
      <c r="H138" s="6" t="n"/>
      <c r="I138" s="6" t="n"/>
      <c r="J138" s="6" t="n"/>
      <c r="K138" s="6" t="n"/>
      <c r="L138" s="6" t="n"/>
    </row>
    <row r="139">
      <c r="A139" s="6" t="n"/>
      <c r="B139" s="6" t="n"/>
      <c r="C139" s="6" t="n"/>
      <c r="D139" s="6" t="n"/>
      <c r="E139" s="6" t="n"/>
      <c r="F139" s="6" t="n"/>
      <c r="G139" s="6" t="n"/>
      <c r="H139" s="6" t="n"/>
      <c r="I139" s="6" t="n"/>
      <c r="J139" s="6" t="n"/>
      <c r="K139" s="6" t="n"/>
      <c r="L139" s="6" t="n"/>
    </row>
    <row r="140">
      <c r="A140" s="6" t="n"/>
      <c r="B140" s="6" t="n"/>
      <c r="C140" s="6" t="n"/>
      <c r="D140" s="6" t="n"/>
      <c r="E140" s="6" t="n"/>
      <c r="F140" s="6" t="n"/>
      <c r="G140" s="6" t="n"/>
      <c r="H140" s="6" t="n"/>
      <c r="I140" s="6" t="n"/>
      <c r="J140" s="6" t="n"/>
      <c r="K140" s="6" t="n"/>
      <c r="L140" s="6" t="n"/>
    </row>
    <row r="141">
      <c r="A141" s="6" t="n"/>
      <c r="B141" s="6" t="n"/>
      <c r="C141" s="6" t="n"/>
      <c r="D141" s="6" t="n"/>
      <c r="E141" s="6" t="n"/>
      <c r="F141" s="6" t="n"/>
      <c r="G141" s="6" t="n"/>
      <c r="H141" s="6" t="n"/>
      <c r="I141" s="6" t="n"/>
      <c r="J141" s="6" t="n"/>
      <c r="K141" s="6" t="n"/>
      <c r="L141" s="6" t="n"/>
    </row>
    <row r="142">
      <c r="A142" s="6" t="n"/>
      <c r="B142" s="6" t="n"/>
      <c r="C142" s="6" t="n"/>
      <c r="D142" s="6" t="n"/>
      <c r="E142" s="6" t="n"/>
      <c r="F142" s="6" t="n"/>
      <c r="G142" s="6" t="n"/>
      <c r="H142" s="6" t="n"/>
      <c r="I142" s="6" t="n"/>
      <c r="J142" s="6" t="n"/>
      <c r="K142" s="6" t="n"/>
      <c r="L142" s="6" t="n"/>
    </row>
    <row r="143">
      <c r="A143" s="6" t="n"/>
      <c r="B143" s="6" t="n"/>
      <c r="C143" s="6" t="n"/>
      <c r="D143" s="6" t="n"/>
      <c r="E143" s="6" t="n"/>
      <c r="F143" s="6" t="n"/>
      <c r="G143" s="6" t="n"/>
      <c r="H143" s="6" t="n"/>
      <c r="I143" s="6" t="n"/>
      <c r="J143" s="6" t="n"/>
      <c r="K143" s="6" t="n"/>
      <c r="L143" s="6" t="n"/>
    </row>
    <row r="144">
      <c r="A144" s="6" t="n"/>
      <c r="B144" s="6" t="n"/>
      <c r="C144" s="6" t="n"/>
      <c r="D144" s="6" t="n"/>
      <c r="E144" s="6" t="n"/>
      <c r="F144" s="6" t="n"/>
      <c r="G144" s="6" t="n"/>
      <c r="H144" s="6" t="n"/>
      <c r="I144" s="6" t="n"/>
      <c r="J144" s="6" t="n"/>
      <c r="K144" s="6" t="n"/>
      <c r="L144" s="6" t="n"/>
    </row>
    <row r="145">
      <c r="A145" s="6" t="n"/>
      <c r="B145" s="6" t="n"/>
      <c r="C145" s="6" t="n"/>
      <c r="D145" s="6" t="n"/>
      <c r="E145" s="6" t="n"/>
      <c r="F145" s="6" t="n"/>
      <c r="G145" s="6" t="n"/>
      <c r="H145" s="6" t="n"/>
      <c r="I145" s="6" t="n"/>
      <c r="J145" s="6" t="n"/>
      <c r="K145" s="6" t="n"/>
      <c r="L145" s="6" t="n"/>
    </row>
    <row r="146">
      <c r="A146" s="6" t="n"/>
      <c r="B146" s="6" t="n"/>
      <c r="C146" s="6" t="n"/>
      <c r="D146" s="6" t="n"/>
      <c r="E146" s="6" t="n"/>
      <c r="F146" s="6" t="n"/>
      <c r="G146" s="6" t="n"/>
      <c r="H146" s="6" t="n"/>
      <c r="I146" s="6" t="n"/>
      <c r="J146" s="6" t="n"/>
      <c r="K146" s="6" t="n"/>
      <c r="L146" s="6" t="n"/>
    </row>
    <row r="147">
      <c r="A147" s="6" t="n"/>
      <c r="B147" s="6" t="n"/>
      <c r="C147" s="6" t="n"/>
      <c r="D147" s="6" t="n"/>
      <c r="E147" s="6" t="n"/>
      <c r="F147" s="6" t="n"/>
      <c r="G147" s="6" t="n"/>
      <c r="H147" s="6" t="n"/>
      <c r="I147" s="6" t="n"/>
      <c r="J147" s="6" t="n"/>
      <c r="K147" s="6" t="n"/>
      <c r="L147" s="6" t="n"/>
    </row>
    <row r="148">
      <c r="A148" s="6" t="n"/>
      <c r="B148" s="6" t="n"/>
      <c r="C148" s="6" t="n"/>
      <c r="D148" s="6" t="n"/>
      <c r="E148" s="6" t="n"/>
      <c r="F148" s="6" t="n"/>
      <c r="G148" s="6" t="n"/>
      <c r="H148" s="6" t="n"/>
      <c r="I148" s="6" t="n"/>
      <c r="J148" s="6" t="n"/>
      <c r="K148" s="6" t="n"/>
      <c r="L148" s="6" t="n"/>
    </row>
    <row r="149">
      <c r="A149" s="6" t="n"/>
      <c r="B149" s="6" t="n"/>
      <c r="C149" s="6" t="n"/>
      <c r="D149" s="6" t="n"/>
      <c r="E149" s="6" t="n"/>
      <c r="F149" s="6" t="n"/>
      <c r="G149" s="6" t="n"/>
      <c r="H149" s="6" t="n"/>
      <c r="I149" s="6" t="n"/>
      <c r="J149" s="6" t="n"/>
      <c r="K149" s="6" t="n"/>
      <c r="L149" s="6" t="n"/>
    </row>
    <row r="150">
      <c r="A150" s="6" t="n"/>
      <c r="B150" s="6" t="n"/>
      <c r="C150" s="6" t="n"/>
      <c r="D150" s="6" t="n"/>
      <c r="E150" s="6" t="n"/>
      <c r="F150" s="6" t="n"/>
      <c r="G150" s="6" t="n"/>
      <c r="H150" s="6" t="n"/>
      <c r="I150" s="6" t="n"/>
      <c r="J150" s="6" t="n"/>
      <c r="K150" s="6" t="n"/>
      <c r="L150" s="6" t="n"/>
    </row>
    <row r="151">
      <c r="A151" s="6" t="n"/>
      <c r="B151" s="6" t="n"/>
      <c r="C151" s="6" t="n"/>
      <c r="D151" s="6" t="n"/>
      <c r="E151" s="6" t="n"/>
      <c r="F151" s="6" t="n"/>
      <c r="G151" s="6" t="n"/>
      <c r="H151" s="6" t="n"/>
      <c r="I151" s="6" t="n"/>
      <c r="J151" s="6" t="n"/>
      <c r="K151" s="6" t="n"/>
      <c r="L151" s="6" t="n"/>
    </row>
    <row r="152">
      <c r="A152" s="6" t="n"/>
      <c r="B152" s="6" t="n"/>
      <c r="C152" s="6" t="n"/>
      <c r="D152" s="6" t="n"/>
      <c r="E152" s="6" t="n"/>
      <c r="F152" s="6" t="n"/>
      <c r="G152" s="6" t="n"/>
      <c r="H152" s="6" t="n"/>
      <c r="I152" s="6" t="n"/>
      <c r="J152" s="6" t="n"/>
      <c r="K152" s="6" t="n"/>
      <c r="L152" s="6" t="n"/>
    </row>
    <row r="153">
      <c r="A153" s="6" t="n"/>
      <c r="B153" s="6" t="n"/>
      <c r="C153" s="6" t="n"/>
      <c r="D153" s="6" t="n"/>
      <c r="E153" s="6" t="n"/>
      <c r="F153" s="6" t="n"/>
      <c r="G153" s="6" t="n"/>
      <c r="H153" s="6" t="n"/>
      <c r="I153" s="6" t="n"/>
      <c r="J153" s="6" t="n"/>
      <c r="K153" s="6" t="n"/>
      <c r="L153" s="6" t="n"/>
    </row>
    <row r="154">
      <c r="A154" s="6" t="n"/>
      <c r="B154" s="6" t="n"/>
      <c r="C154" s="6" t="n"/>
      <c r="D154" s="6" t="n"/>
      <c r="E154" s="6" t="n"/>
      <c r="F154" s="6" t="n"/>
      <c r="G154" s="6" t="n"/>
      <c r="H154" s="6" t="n"/>
      <c r="I154" s="6" t="n"/>
      <c r="J154" s="6" t="n"/>
      <c r="K154" s="6" t="n"/>
      <c r="L154" s="6" t="n"/>
    </row>
    <row r="155">
      <c r="A155" s="6" t="n"/>
      <c r="B155" s="6" t="n"/>
      <c r="C155" s="6" t="n"/>
      <c r="D155" s="6" t="n"/>
      <c r="E155" s="6" t="n"/>
      <c r="F155" s="6" t="n"/>
      <c r="G155" s="6" t="n"/>
      <c r="H155" s="6" t="n"/>
      <c r="I155" s="6" t="n"/>
      <c r="J155" s="6" t="n"/>
      <c r="K155" s="6" t="n"/>
      <c r="L155" s="6" t="n"/>
    </row>
    <row r="156">
      <c r="A156" s="6" t="n"/>
      <c r="B156" s="6" t="n"/>
      <c r="C156" s="6" t="n"/>
      <c r="D156" s="6" t="n"/>
      <c r="E156" s="6" t="n"/>
      <c r="F156" s="6" t="n"/>
      <c r="G156" s="6" t="n"/>
      <c r="H156" s="6" t="n"/>
      <c r="I156" s="6" t="n"/>
      <c r="J156" s="6" t="n"/>
      <c r="K156" s="6" t="n"/>
      <c r="L156" s="6" t="n"/>
    </row>
    <row r="157">
      <c r="A157" s="6" t="n"/>
      <c r="B157" s="6" t="n"/>
      <c r="C157" s="6" t="n"/>
      <c r="D157" s="6" t="n"/>
      <c r="E157" s="6" t="n"/>
      <c r="F157" s="6" t="n"/>
      <c r="G157" s="6" t="n"/>
      <c r="H157" s="6" t="n"/>
      <c r="I157" s="6" t="n"/>
      <c r="J157" s="6" t="n"/>
      <c r="K157" s="6" t="n"/>
      <c r="L157" s="6" t="n"/>
    </row>
    <row r="158">
      <c r="A158" s="6" t="n"/>
      <c r="B158" s="6" t="n"/>
      <c r="C158" s="6" t="n"/>
      <c r="D158" s="6" t="n"/>
      <c r="E158" s="6" t="n"/>
      <c r="F158" s="6" t="n"/>
      <c r="G158" s="6" t="n"/>
      <c r="H158" s="6" t="n"/>
      <c r="I158" s="6" t="n"/>
      <c r="J158" s="6" t="n"/>
      <c r="K158" s="6" t="n"/>
      <c r="L158" s="6" t="n"/>
    </row>
    <row r="159">
      <c r="A159" s="6" t="n"/>
      <c r="B159" s="6" t="n"/>
      <c r="C159" s="6" t="n"/>
      <c r="D159" s="6" t="n"/>
      <c r="E159" s="6" t="n"/>
      <c r="F159" s="6" t="n"/>
      <c r="G159" s="6" t="n"/>
      <c r="H159" s="6" t="n"/>
      <c r="I159" s="6" t="n"/>
      <c r="J159" s="6" t="n"/>
      <c r="K159" s="6" t="n"/>
      <c r="L159" s="6" t="n"/>
    </row>
    <row r="160">
      <c r="A160" s="6" t="n"/>
      <c r="B160" s="6" t="n"/>
      <c r="C160" s="6" t="n"/>
      <c r="D160" s="6" t="n"/>
      <c r="E160" s="6" t="n"/>
      <c r="F160" s="6" t="n"/>
      <c r="G160" s="6" t="n"/>
      <c r="H160" s="6" t="n"/>
      <c r="I160" s="6" t="n"/>
      <c r="J160" s="6" t="n"/>
      <c r="K160" s="6" t="n"/>
      <c r="L160" s="6" t="n"/>
    </row>
    <row r="161">
      <c r="A161" s="6" t="n"/>
      <c r="B161" s="6" t="n"/>
      <c r="C161" s="6" t="n"/>
      <c r="D161" s="6" t="n"/>
      <c r="E161" s="6" t="n"/>
      <c r="F161" s="6" t="n"/>
      <c r="G161" s="6" t="n"/>
      <c r="H161" s="6" t="n"/>
      <c r="I161" s="6" t="n"/>
      <c r="J161" s="6" t="n"/>
      <c r="K161" s="6" t="n"/>
      <c r="L161" s="6" t="n"/>
    </row>
    <row r="162">
      <c r="A162" s="6" t="n"/>
      <c r="B162" s="6" t="n"/>
      <c r="C162" s="6" t="n"/>
      <c r="D162" s="6" t="n"/>
      <c r="E162" s="6" t="n"/>
      <c r="F162" s="6" t="n"/>
      <c r="G162" s="6" t="n"/>
      <c r="H162" s="6" t="n"/>
      <c r="I162" s="6" t="n"/>
      <c r="J162" s="6" t="n"/>
      <c r="K162" s="6" t="n"/>
      <c r="L162" s="6" t="n"/>
    </row>
    <row r="163">
      <c r="A163" s="6" t="n"/>
      <c r="B163" s="6" t="n"/>
      <c r="C163" s="6" t="n"/>
      <c r="D163" s="6" t="n"/>
      <c r="E163" s="6" t="n"/>
      <c r="F163" s="6" t="n"/>
      <c r="G163" s="6" t="n"/>
      <c r="H163" s="6" t="n"/>
      <c r="I163" s="6" t="n"/>
      <c r="J163" s="6" t="n"/>
      <c r="K163" s="6" t="n"/>
      <c r="L163" s="6" t="n"/>
    </row>
    <row r="164">
      <c r="A164" s="6" t="n"/>
      <c r="B164" s="6" t="n"/>
      <c r="C164" s="6" t="n"/>
      <c r="D164" s="6" t="n"/>
      <c r="E164" s="6" t="n"/>
      <c r="F164" s="6" t="n"/>
      <c r="G164" s="6" t="n"/>
      <c r="H164" s="6" t="n"/>
      <c r="I164" s="6" t="n"/>
      <c r="J164" s="6" t="n"/>
      <c r="K164" s="6" t="n"/>
      <c r="L164" s="6" t="n"/>
    </row>
    <row r="165">
      <c r="A165" s="6" t="n"/>
      <c r="B165" s="6" t="n"/>
      <c r="C165" s="6" t="n"/>
      <c r="D165" s="6" t="n"/>
      <c r="E165" s="6" t="n"/>
      <c r="F165" s="6" t="n"/>
      <c r="G165" s="6" t="n"/>
      <c r="H165" s="6" t="n"/>
      <c r="I165" s="6" t="n"/>
      <c r="J165" s="6" t="n"/>
      <c r="K165" s="6" t="n"/>
      <c r="L165" s="6" t="n"/>
    </row>
    <row r="166">
      <c r="A166" s="6" t="n"/>
      <c r="B166" s="6" t="n"/>
      <c r="C166" s="6" t="n"/>
      <c r="D166" s="6" t="n"/>
      <c r="E166" s="6" t="n"/>
      <c r="F166" s="6" t="n"/>
      <c r="G166" s="6" t="n"/>
      <c r="H166" s="6" t="n"/>
      <c r="I166" s="6" t="n"/>
      <c r="J166" s="6" t="n"/>
      <c r="K166" s="6" t="n"/>
      <c r="L166" s="6" t="n"/>
    </row>
    <row r="167">
      <c r="A167" s="6" t="n"/>
      <c r="B167" s="6" t="n"/>
      <c r="C167" s="6" t="n"/>
      <c r="D167" s="6" t="n"/>
      <c r="E167" s="6" t="n"/>
      <c r="F167" s="6" t="n"/>
      <c r="G167" s="6" t="n"/>
      <c r="H167" s="6" t="n"/>
      <c r="I167" s="6" t="n"/>
      <c r="J167" s="6" t="n"/>
      <c r="K167" s="6" t="n"/>
      <c r="L167" s="6" t="n"/>
    </row>
    <row r="168">
      <c r="A168" s="6" t="n"/>
      <c r="B168" s="6" t="n"/>
      <c r="C168" s="6" t="n"/>
      <c r="D168" s="6" t="n"/>
      <c r="E168" s="6" t="n"/>
      <c r="F168" s="6" t="n"/>
      <c r="G168" s="6" t="n"/>
      <c r="H168" s="6" t="n"/>
      <c r="I168" s="6" t="n"/>
      <c r="J168" s="6" t="n"/>
      <c r="K168" s="6" t="n"/>
      <c r="L168" s="6" t="n"/>
    </row>
    <row r="169">
      <c r="A169" s="6" t="n"/>
      <c r="B169" s="6" t="n"/>
      <c r="C169" s="6" t="n"/>
      <c r="D169" s="6" t="n"/>
      <c r="E169" s="6" t="n"/>
      <c r="F169" s="6" t="n"/>
      <c r="G169" s="6" t="n"/>
      <c r="H169" s="6" t="n"/>
      <c r="I169" s="6" t="n"/>
      <c r="J169" s="6" t="n"/>
      <c r="K169" s="6" t="n"/>
      <c r="L169" s="6" t="n"/>
    </row>
    <row r="170">
      <c r="A170" s="6" t="n"/>
      <c r="B170" s="6" t="n"/>
      <c r="C170" s="6" t="n"/>
      <c r="D170" s="6" t="n"/>
      <c r="E170" s="6" t="n"/>
      <c r="F170" s="6" t="n"/>
      <c r="G170" s="6" t="n"/>
      <c r="H170" s="6" t="n"/>
      <c r="I170" s="6" t="n"/>
      <c r="J170" s="6" t="n"/>
      <c r="K170" s="6" t="n"/>
      <c r="L170" s="6" t="n"/>
    </row>
    <row r="171">
      <c r="A171" s="6" t="n"/>
      <c r="B171" s="6" t="n"/>
      <c r="C171" s="6" t="n"/>
      <c r="D171" s="6" t="n"/>
      <c r="E171" s="6" t="n"/>
      <c r="F171" s="6" t="n"/>
      <c r="G171" s="6" t="n"/>
      <c r="H171" s="6" t="n"/>
      <c r="I171" s="6" t="n"/>
      <c r="J171" s="6" t="n"/>
      <c r="K171" s="6" t="n"/>
      <c r="L171" s="6" t="n"/>
    </row>
    <row r="172">
      <c r="A172" s="6" t="n"/>
      <c r="B172" s="6" t="n"/>
      <c r="C172" s="6" t="n"/>
      <c r="D172" s="6" t="n"/>
      <c r="E172" s="6" t="n"/>
      <c r="F172" s="6" t="n"/>
      <c r="G172" s="6" t="n"/>
      <c r="H172" s="6" t="n"/>
      <c r="I172" s="6" t="n"/>
      <c r="J172" s="6" t="n"/>
      <c r="K172" s="6" t="n"/>
      <c r="L172" s="6" t="n"/>
    </row>
    <row r="173">
      <c r="A173" s="6" t="n"/>
      <c r="B173" s="6" t="n"/>
      <c r="C173" s="6" t="n"/>
      <c r="D173" s="6" t="n"/>
      <c r="E173" s="6" t="n"/>
      <c r="F173" s="6" t="n"/>
      <c r="G173" s="6" t="n"/>
      <c r="H173" s="6" t="n"/>
      <c r="I173" s="6" t="n"/>
      <c r="J173" s="6" t="n"/>
      <c r="K173" s="6" t="n"/>
      <c r="L173" s="6" t="n"/>
    </row>
    <row r="174">
      <c r="A174" s="6" t="n"/>
      <c r="B174" s="6" t="n"/>
      <c r="C174" s="6" t="n"/>
      <c r="D174" s="6" t="n"/>
      <c r="E174" s="6" t="n"/>
      <c r="F174" s="6" t="n"/>
      <c r="G174" s="6" t="n"/>
      <c r="H174" s="6" t="n"/>
      <c r="I174" s="6" t="n"/>
      <c r="J174" s="6" t="n"/>
      <c r="K174" s="6" t="n"/>
      <c r="L174" s="6" t="n"/>
    </row>
    <row r="175">
      <c r="A175" s="6" t="n"/>
      <c r="B175" s="6" t="n"/>
      <c r="C175" s="6" t="n"/>
      <c r="D175" s="6" t="n"/>
      <c r="E175" s="6" t="n"/>
      <c r="F175" s="6" t="n"/>
      <c r="G175" s="6" t="n"/>
      <c r="H175" s="6" t="n"/>
      <c r="I175" s="6" t="n"/>
      <c r="J175" s="6" t="n"/>
      <c r="K175" s="6" t="n"/>
      <c r="L175" s="6" t="n"/>
    </row>
    <row r="176">
      <c r="A176" s="6" t="n"/>
      <c r="B176" s="6" t="n"/>
      <c r="C176" s="6" t="n"/>
      <c r="D176" s="6" t="n"/>
      <c r="E176" s="6" t="n"/>
      <c r="F176" s="6" t="n"/>
      <c r="G176" s="6" t="n"/>
      <c r="H176" s="6" t="n"/>
      <c r="I176" s="6" t="n"/>
      <c r="J176" s="6" t="n"/>
      <c r="K176" s="6" t="n"/>
      <c r="L176" s="6" t="n"/>
    </row>
    <row r="177">
      <c r="A177" s="6" t="n"/>
      <c r="B177" s="6" t="n"/>
      <c r="C177" s="6" t="n"/>
      <c r="D177" s="6" t="n"/>
      <c r="E177" s="6" t="n"/>
      <c r="F177" s="6" t="n"/>
      <c r="G177" s="6" t="n"/>
      <c r="H177" s="6" t="n"/>
      <c r="I177" s="6" t="n"/>
      <c r="J177" s="6" t="n"/>
      <c r="K177" s="6" t="n"/>
      <c r="L177" s="6" t="n"/>
    </row>
    <row r="178">
      <c r="A178" s="6" t="n"/>
      <c r="B178" s="6" t="n"/>
      <c r="C178" s="6" t="n"/>
      <c r="D178" s="6" t="n"/>
      <c r="E178" s="6" t="n"/>
      <c r="F178" s="6" t="n"/>
      <c r="G178" s="6" t="n"/>
      <c r="H178" s="6" t="n"/>
      <c r="I178" s="6" t="n"/>
      <c r="J178" s="6" t="n"/>
      <c r="K178" s="6" t="n"/>
      <c r="L178" s="6" t="n"/>
    </row>
    <row r="179">
      <c r="A179" s="6" t="n"/>
      <c r="B179" s="6" t="n"/>
      <c r="C179" s="6" t="n"/>
      <c r="D179" s="6" t="n"/>
      <c r="E179" s="6" t="n"/>
      <c r="F179" s="6" t="n"/>
      <c r="G179" s="6" t="n"/>
      <c r="H179" s="6" t="n"/>
      <c r="I179" s="6" t="n"/>
      <c r="J179" s="6" t="n"/>
      <c r="K179" s="6" t="n"/>
      <c r="L179" s="6" t="n"/>
    </row>
    <row r="180">
      <c r="A180" s="6" t="n"/>
      <c r="B180" s="6" t="n"/>
      <c r="C180" s="6" t="n"/>
      <c r="D180" s="6" t="n"/>
      <c r="E180" s="6" t="n"/>
      <c r="F180" s="6" t="n"/>
      <c r="G180" s="6" t="n"/>
      <c r="H180" s="6" t="n"/>
      <c r="I180" s="6" t="n"/>
      <c r="J180" s="6" t="n"/>
      <c r="K180" s="6" t="n"/>
      <c r="L180" s="6" t="n"/>
    </row>
    <row r="181">
      <c r="A181" s="6" t="n"/>
      <c r="B181" s="6" t="n"/>
      <c r="C181" s="6" t="n"/>
      <c r="D181" s="6" t="n"/>
      <c r="E181" s="6" t="n"/>
      <c r="F181" s="6" t="n"/>
      <c r="G181" s="6" t="n"/>
      <c r="H181" s="6" t="n"/>
      <c r="I181" s="6" t="n"/>
      <c r="J181" s="6" t="n"/>
      <c r="K181" s="6" t="n"/>
      <c r="L181" s="6" t="n"/>
    </row>
    <row r="182">
      <c r="A182" s="6" t="n"/>
      <c r="B182" s="6" t="n"/>
      <c r="C182" s="6" t="n"/>
      <c r="D182" s="6" t="n"/>
      <c r="E182" s="6" t="n"/>
      <c r="F182" s="6" t="n"/>
      <c r="G182" s="6" t="n"/>
      <c r="H182" s="6" t="n"/>
      <c r="I182" s="6" t="n"/>
      <c r="J182" s="6" t="n"/>
      <c r="K182" s="6" t="n"/>
      <c r="L182" s="6" t="n"/>
    </row>
    <row r="183">
      <c r="A183" s="6" t="n"/>
      <c r="B183" s="6" t="n"/>
      <c r="C183" s="6" t="n"/>
      <c r="D183" s="6" t="n"/>
      <c r="E183" s="6" t="n"/>
      <c r="F183" s="6" t="n"/>
      <c r="G183" s="6" t="n"/>
      <c r="H183" s="6" t="n"/>
      <c r="I183" s="6" t="n"/>
      <c r="J183" s="6" t="n"/>
      <c r="K183" s="6" t="n"/>
      <c r="L183" s="6" t="n"/>
    </row>
    <row r="184">
      <c r="A184" s="6" t="n"/>
      <c r="B184" s="6" t="n"/>
      <c r="C184" s="6" t="n"/>
      <c r="D184" s="6" t="n"/>
      <c r="E184" s="6" t="n"/>
      <c r="F184" s="6" t="n"/>
      <c r="G184" s="6" t="n"/>
      <c r="H184" s="6" t="n"/>
      <c r="I184" s="6" t="n"/>
      <c r="J184" s="6" t="n"/>
      <c r="K184" s="6" t="n"/>
      <c r="L184" s="6" t="n"/>
    </row>
    <row r="185">
      <c r="A185" s="6" t="n"/>
      <c r="B185" s="6" t="n"/>
      <c r="C185" s="6" t="n"/>
      <c r="D185" s="6" t="n"/>
      <c r="E185" s="6" t="n"/>
      <c r="F185" s="6" t="n"/>
      <c r="G185" s="6" t="n"/>
      <c r="H185" s="6" t="n"/>
      <c r="I185" s="6" t="n"/>
      <c r="J185" s="6" t="n"/>
      <c r="K185" s="6" t="n"/>
      <c r="L185" s="6" t="n"/>
    </row>
    <row r="186">
      <c r="A186" s="6" t="n"/>
      <c r="B186" s="6" t="n"/>
      <c r="C186" s="6" t="n"/>
      <c r="D186" s="6" t="n"/>
      <c r="E186" s="6" t="n"/>
      <c r="F186" s="6" t="n"/>
      <c r="G186" s="6" t="n"/>
      <c r="H186" s="6" t="n"/>
      <c r="I186" s="6" t="n"/>
      <c r="J186" s="6" t="n"/>
      <c r="K186" s="6" t="n"/>
      <c r="L186" s="6" t="n"/>
    </row>
    <row r="187">
      <c r="A187" s="6" t="n"/>
      <c r="B187" s="6" t="n"/>
      <c r="C187" s="6" t="n"/>
      <c r="D187" s="6" t="n"/>
      <c r="E187" s="6" t="n"/>
      <c r="F187" s="6" t="n"/>
      <c r="G187" s="6" t="n"/>
      <c r="H187" s="6" t="n"/>
      <c r="I187" s="6" t="n"/>
      <c r="J187" s="6" t="n"/>
      <c r="K187" s="6" t="n"/>
      <c r="L187" s="6" t="n"/>
    </row>
    <row r="188">
      <c r="A188" s="6" t="n"/>
      <c r="B188" s="6" t="n"/>
      <c r="C188" s="6" t="n"/>
      <c r="D188" s="6" t="n"/>
      <c r="E188" s="6" t="n"/>
      <c r="F188" s="6" t="n"/>
      <c r="G188" s="6" t="n"/>
      <c r="H188" s="6" t="n"/>
      <c r="I188" s="6" t="n"/>
      <c r="J188" s="6" t="n"/>
      <c r="K188" s="6" t="n"/>
      <c r="L188" s="6" t="n"/>
    </row>
    <row r="189">
      <c r="A189" s="6" t="n"/>
      <c r="B189" s="6" t="n"/>
      <c r="C189" s="6" t="n"/>
      <c r="D189" s="6" t="n"/>
      <c r="E189" s="6" t="n"/>
      <c r="F189" s="6" t="n"/>
      <c r="G189" s="6" t="n"/>
      <c r="H189" s="6" t="n"/>
      <c r="I189" s="6" t="n"/>
      <c r="J189" s="6" t="n"/>
      <c r="K189" s="6" t="n"/>
      <c r="L189" s="6" t="n"/>
    </row>
    <row r="190">
      <c r="A190" s="6" t="n"/>
      <c r="B190" s="6" t="n"/>
      <c r="C190" s="6" t="n"/>
      <c r="D190" s="6" t="n"/>
      <c r="E190" s="6" t="n"/>
      <c r="F190" s="6" t="n"/>
      <c r="G190" s="6" t="n"/>
      <c r="H190" s="6" t="n"/>
      <c r="I190" s="6" t="n"/>
      <c r="J190" s="6" t="n"/>
      <c r="K190" s="6" t="n"/>
      <c r="L190" s="6" t="n"/>
    </row>
    <row r="191">
      <c r="A191" s="6" t="n"/>
      <c r="B191" s="6" t="n"/>
      <c r="C191" s="6" t="n"/>
      <c r="D191" s="6" t="n"/>
      <c r="E191" s="6" t="n"/>
      <c r="F191" s="6" t="n"/>
      <c r="G191" s="6" t="n"/>
      <c r="H191" s="6" t="n"/>
      <c r="I191" s="6" t="n"/>
      <c r="J191" s="6" t="n"/>
      <c r="K191" s="6" t="n"/>
      <c r="L191" s="6" t="n"/>
    </row>
    <row r="192">
      <c r="A192" s="6" t="n"/>
      <c r="B192" s="6" t="n"/>
      <c r="C192" s="6" t="n"/>
      <c r="D192" s="6" t="n"/>
      <c r="E192" s="6" t="n"/>
      <c r="F192" s="6" t="n"/>
      <c r="G192" s="6" t="n"/>
      <c r="H192" s="6" t="n"/>
      <c r="I192" s="6" t="n"/>
      <c r="J192" s="6" t="n"/>
      <c r="K192" s="6" t="n"/>
      <c r="L192" s="6" t="n"/>
    </row>
    <row r="193">
      <c r="A193" s="6" t="n"/>
      <c r="B193" s="6" t="n"/>
      <c r="C193" s="6" t="n"/>
      <c r="D193" s="6" t="n"/>
      <c r="E193" s="6" t="n"/>
      <c r="F193" s="6" t="n"/>
      <c r="G193" s="6" t="n"/>
      <c r="H193" s="6" t="n"/>
      <c r="I193" s="6" t="n"/>
      <c r="J193" s="6" t="n"/>
      <c r="K193" s="6" t="n"/>
      <c r="L193" s="6" t="n"/>
    </row>
    <row r="194">
      <c r="A194" s="6" t="n"/>
      <c r="B194" s="6" t="n"/>
      <c r="C194" s="6" t="n"/>
      <c r="D194" s="6" t="n"/>
      <c r="E194" s="6" t="n"/>
      <c r="F194" s="6" t="n"/>
      <c r="G194" s="6" t="n"/>
      <c r="H194" s="6" t="n"/>
      <c r="I194" s="6" t="n"/>
      <c r="J194" s="6" t="n"/>
      <c r="K194" s="6" t="n"/>
      <c r="L194" s="6" t="n"/>
    </row>
    <row r="195">
      <c r="A195" s="6" t="n"/>
      <c r="B195" s="6" t="n"/>
      <c r="C195" s="6" t="n"/>
      <c r="D195" s="6" t="n"/>
      <c r="E195" s="6" t="n"/>
      <c r="F195" s="6" t="n"/>
      <c r="G195" s="6" t="n"/>
      <c r="H195" s="6" t="n"/>
      <c r="I195" s="6" t="n"/>
      <c r="J195" s="6" t="n"/>
      <c r="K195" s="6" t="n"/>
      <c r="L195" s="6" t="n"/>
    </row>
    <row r="196">
      <c r="A196" s="6" t="n"/>
      <c r="B196" s="6" t="n"/>
      <c r="C196" s="6" t="n"/>
      <c r="D196" s="6" t="n"/>
      <c r="E196" s="6" t="n"/>
      <c r="F196" s="6" t="n"/>
      <c r="G196" s="6" t="n"/>
      <c r="H196" s="6" t="n"/>
      <c r="I196" s="6" t="n"/>
      <c r="J196" s="6" t="n"/>
      <c r="K196" s="6" t="n"/>
      <c r="L196" s="6" t="n"/>
    </row>
    <row r="197">
      <c r="A197" s="6" t="n"/>
      <c r="B197" s="6" t="n"/>
      <c r="C197" s="6" t="n"/>
      <c r="D197" s="6" t="n"/>
      <c r="E197" s="6" t="n"/>
      <c r="F197" s="6" t="n"/>
      <c r="G197" s="6" t="n"/>
      <c r="H197" s="6" t="n"/>
      <c r="I197" s="6" t="n"/>
      <c r="J197" s="6" t="n"/>
      <c r="K197" s="6" t="n"/>
      <c r="L197" s="6" t="n"/>
    </row>
    <row r="198">
      <c r="A198" s="6" t="n"/>
      <c r="B198" s="6" t="n"/>
      <c r="C198" s="6" t="n"/>
      <c r="D198" s="6" t="n"/>
      <c r="E198" s="6" t="n"/>
      <c r="F198" s="6" t="n"/>
      <c r="G198" s="6" t="n"/>
      <c r="H198" s="6" t="n"/>
      <c r="I198" s="6" t="n"/>
      <c r="J198" s="6" t="n"/>
      <c r="K198" s="6" t="n"/>
      <c r="L198" s="6" t="n"/>
    </row>
    <row r="199">
      <c r="A199" s="6" t="n"/>
      <c r="B199" s="6" t="n"/>
      <c r="C199" s="6" t="n"/>
      <c r="D199" s="6" t="n"/>
      <c r="E199" s="6" t="n"/>
      <c r="F199" s="6" t="n"/>
      <c r="G199" s="6" t="n"/>
      <c r="H199" s="6" t="n"/>
      <c r="I199" s="6" t="n"/>
      <c r="J199" s="6" t="n"/>
      <c r="K199" s="6" t="n"/>
      <c r="L199" s="6" t="n"/>
    </row>
    <row r="200">
      <c r="A200" s="6" t="n"/>
      <c r="B200" s="6" t="n"/>
      <c r="C200" s="6" t="n"/>
      <c r="D200" s="6" t="n"/>
      <c r="E200" s="6" t="n"/>
      <c r="F200" s="6" t="n"/>
      <c r="G200" s="6" t="n"/>
      <c r="H200" s="6" t="n"/>
      <c r="I200" s="6" t="n"/>
      <c r="J200" s="6" t="n"/>
      <c r="K200" s="6" t="n"/>
      <c r="L200" s="6" t="n"/>
    </row>
    <row r="201">
      <c r="A201" s="6" t="n"/>
      <c r="B201" s="6" t="n"/>
      <c r="C201" s="6" t="n"/>
      <c r="D201" s="6" t="n"/>
      <c r="E201" s="6" t="n"/>
      <c r="F201" s="6" t="n"/>
      <c r="G201" s="6" t="n"/>
      <c r="H201" s="6" t="n"/>
      <c r="I201" s="6" t="n"/>
      <c r="J201" s="6" t="n"/>
      <c r="K201" s="6" t="n"/>
      <c r="L201" s="6" t="n"/>
    </row>
    <row r="202">
      <c r="A202" s="6" t="n"/>
      <c r="B202" s="6" t="n"/>
      <c r="C202" s="6" t="n"/>
      <c r="D202" s="6" t="n"/>
      <c r="E202" s="6" t="n"/>
      <c r="F202" s="6" t="n"/>
      <c r="G202" s="6" t="n"/>
      <c r="H202" s="6" t="n"/>
      <c r="I202" s="6" t="n"/>
      <c r="J202" s="6" t="n"/>
      <c r="K202" s="6" t="n"/>
      <c r="L202" s="6" t="n"/>
    </row>
    <row r="203">
      <c r="A203" s="6" t="n"/>
      <c r="B203" s="6" t="n"/>
      <c r="C203" s="6" t="n"/>
      <c r="D203" s="6" t="n"/>
      <c r="E203" s="6" t="n"/>
      <c r="F203" s="6" t="n"/>
      <c r="G203" s="6" t="n"/>
      <c r="H203" s="6" t="n"/>
      <c r="I203" s="6" t="n"/>
      <c r="J203" s="6" t="n"/>
      <c r="K203" s="6" t="n"/>
      <c r="L203" s="6" t="n"/>
    </row>
    <row r="204">
      <c r="A204" s="6" t="n"/>
      <c r="B204" s="6" t="n"/>
      <c r="C204" s="6" t="n"/>
      <c r="D204" s="6" t="n"/>
      <c r="E204" s="6" t="n"/>
      <c r="F204" s="6" t="n"/>
      <c r="G204" s="6" t="n"/>
      <c r="H204" s="6" t="n"/>
      <c r="I204" s="6" t="n"/>
      <c r="J204" s="6" t="n"/>
      <c r="K204" s="6" t="n"/>
      <c r="L204" s="6" t="n"/>
    </row>
  </sheetData>
  <mergeCells count="2">
    <mergeCell ref="A2:L2"/>
    <mergeCell ref="A1:L1"/>
  </mergeCells>
  <dataValidations count="2">
    <dataValidation sqref="H4:H204" showDropDown="0" showInputMessage="0" showErrorMessage="0" allowBlank="1" type="list">
      <formula1>"Critical,High,Medium,Low"</formula1>
    </dataValidation>
    <dataValidation sqref="L4:L204" showDropDown="0" showInputMessage="0" showErrorMessage="0" allowBlank="1" type="list">
      <formula1>"Open,Fixed,Retest,Closed,Rejected"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2026-08-12T11:58:24Z</dcterms:created>
  <dcterms:modified xsi:type="dcterms:W3CDTF">2026-08-12T11:58:24Z</dcterms:modified>
</cp:coreProperties>
</file>