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SUMMARY" sheetId="2" state="visible" r:id="rId2"/>
    <sheet name="JS-01 Sign up email" sheetId="3" state="visible" r:id="rId3"/>
    <sheet name="JS-02 Social login" sheetId="4" state="visible" r:id="rId4"/>
    <sheet name="JS-03 Sign in" sheetId="5" state="visible" r:id="rId5"/>
    <sheet name="JS-04 Onboarding" sheetId="6" state="visible" r:id="rId6"/>
    <sheet name="JS-05 Create CV" sheetId="7" state="visible" r:id="rId7"/>
    <sheet name="JS-06 Manage CV" sheetId="8" state="visible" r:id="rId8"/>
    <sheet name="JS-07 Find jobs" sheetId="9" state="visible" r:id="rId9"/>
    <sheet name="JS-08 Apply to a job" sheetId="10" state="visible" r:id="rId10"/>
    <sheet name="JS-09 My applications" sheetId="11" state="visible" r:id="rId11"/>
    <sheet name="JS-10 My page" sheetId="12" state="visible" r:id="rId12"/>
    <sheet name="BUG LOG" sheetId="13" state="visible" r:id="rId13"/>
  </sheets>
  <definedNames>
    <definedName name="_xlnm._FilterDatabase" localSheetId="2" hidden="1">'JS-01 Sign up email'!$A$3:$N$21</definedName>
    <definedName name="_xlnm._FilterDatabase" localSheetId="3" hidden="1">'JS-02 Social login'!$A$3:$N$20</definedName>
    <definedName name="_xlnm._FilterDatabase" localSheetId="4" hidden="1">'JS-03 Sign in'!$A$3:$N$16</definedName>
    <definedName name="_xlnm._FilterDatabase" localSheetId="5" hidden="1">'JS-04 Onboarding'!$A$3:$N$19</definedName>
    <definedName name="_xlnm._FilterDatabase" localSheetId="6" hidden="1">'JS-05 Create CV'!$A$3:$N$31</definedName>
    <definedName name="_xlnm._FilterDatabase" localSheetId="7" hidden="1">'JS-06 Manage CV'!$A$3:$N$20</definedName>
    <definedName name="_xlnm._FilterDatabase" localSheetId="8" hidden="1">'JS-07 Find jobs'!$A$3:$N$24</definedName>
    <definedName name="_xlnm._FilterDatabase" localSheetId="9" hidden="1">'JS-08 Apply to a job'!$A$3:$N$23</definedName>
    <definedName name="_xlnm._FilterDatabase" localSheetId="10" hidden="1">'JS-09 My applications'!$A$3:$N$13</definedName>
    <definedName name="_xlnm._FilterDatabase" localSheetId="11" hidden="1">'JS-10 My page'!$A$3:$N$21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3"/>
    </font>
    <font>
      <name val="Arial"/>
      <i val="1"/>
      <color rgb="00555555"/>
      <sz val="9"/>
    </font>
    <font>
      <name val="Arial"/>
      <b val="1"/>
      <color rgb="00FFFFFF"/>
      <sz val="10"/>
    </font>
    <font>
      <name val="Arial"/>
      <b val="1"/>
      <sz val="10"/>
    </font>
    <font>
      <name val="Arial"/>
      <sz val="10"/>
    </font>
    <font>
      <name val="Arial"/>
      <b val="1"/>
      <color rgb="001F3864"/>
      <sz val="16"/>
    </font>
    <font>
      <name val="Arial"/>
      <b val="1"/>
      <color rgb="00FFFFFF"/>
      <sz val="12"/>
    </font>
    <font>
      <name val="Arial"/>
      <b val="1"/>
      <color rgb="001F3864"/>
      <sz val="14"/>
    </font>
    <font>
      <name val="Arial"/>
      <i val="1"/>
      <color rgb="00808080"/>
      <sz val="10"/>
    </font>
  </fonts>
  <fills count="12">
    <fill>
      <patternFill/>
    </fill>
    <fill>
      <patternFill patternType="gray125"/>
    </fill>
    <fill>
      <patternFill patternType="solid">
        <fgColor rgb="001F3864"/>
      </patternFill>
    </fill>
    <fill>
      <patternFill patternType="solid">
        <fgColor rgb="00FFF9E0"/>
      </patternFill>
    </fill>
    <fill>
      <patternFill patternType="solid">
        <fgColor rgb="00E2F0D9"/>
      </patternFill>
    </fill>
    <fill>
      <patternFill patternType="solid">
        <fgColor rgb="00FCE4E4"/>
      </patternFill>
    </fill>
    <fill>
      <patternFill patternType="solid">
        <fgColor rgb="00EEF3FA"/>
      </patternFill>
    </fill>
    <fill>
      <patternFill patternType="solid">
        <fgColor rgb="00FFF2CC"/>
      </patternFill>
    </fill>
    <fill>
      <patternFill patternType="solid">
        <fgColor rgb="00FBE5D6"/>
      </patternFill>
    </fill>
    <fill>
      <patternFill patternType="solid">
        <fgColor rgb="00E4DFEC"/>
      </patternFill>
    </fill>
    <fill>
      <patternFill patternType="solid">
        <fgColor rgb="00EDEDED"/>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6" fillId="0" borderId="0" pivotButton="0" quotePrefix="0" xfId="0"/>
    <xf numFmtId="0" fontId="5" fillId="0" borderId="0" applyAlignment="1" pivotButton="0" quotePrefix="0" xfId="0">
      <alignment vertical="top" wrapText="1"/>
    </xf>
    <xf numFmtId="0" fontId="7" fillId="2" borderId="0" pivotButton="0" quotePrefix="0" xfId="0"/>
    <xf numFmtId="0" fontId="0" fillId="2"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8" fillId="0" borderId="0" pivotButton="0" quotePrefix="0" xfId="0"/>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xf>
    <xf numFmtId="9" fontId="5" fillId="0" borderId="1" applyAlignment="1" pivotButton="0" quotePrefix="0" xfId="0">
      <alignment horizontal="center"/>
    </xf>
    <xf numFmtId="0" fontId="4" fillId="11" borderId="1" pivotButton="0" quotePrefix="0" xfId="0"/>
    <xf numFmtId="0" fontId="4" fillId="11" borderId="1" applyAlignment="1" pivotButton="0" quotePrefix="0" xfId="0">
      <alignment horizontal="center"/>
    </xf>
    <xf numFmtId="9" fontId="4" fillId="11" borderId="1" applyAlignment="1" pivotButton="0" quotePrefix="0" xfId="0">
      <alignment horizontal="center"/>
    </xf>
    <xf numFmtId="0" fontId="1" fillId="0" borderId="0" pivotButton="0" quotePrefix="0" xfId="0"/>
    <xf numFmtId="0" fontId="4"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3" borderId="1" applyAlignment="1" pivotButton="0" quotePrefix="0" xfId="0">
      <alignment vertical="top" wrapText="1"/>
    </xf>
    <xf numFmtId="0" fontId="5" fillId="3" borderId="1" applyAlignment="1" pivotButton="0" quotePrefix="0" xfId="0">
      <alignment horizontal="center" vertical="top" wrapText="1"/>
    </xf>
    <xf numFmtId="0" fontId="4" fillId="6" borderId="1" applyAlignment="1" pivotButton="0" quotePrefix="0" xfId="0">
      <alignment horizontal="center" vertical="top" wrapText="1"/>
    </xf>
    <xf numFmtId="0" fontId="5" fillId="6" borderId="1" applyAlignment="1" pivotButton="0" quotePrefix="0" xfId="0">
      <alignment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5" fillId="10" borderId="1" applyAlignment="1" pivotButton="0" quotePrefix="0" xfId="0">
      <alignment horizontal="center"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showGridLines="0" workbookViewId="0">
      <selection activeCell="A1" sqref="A1"/>
    </sheetView>
  </sheetViews>
  <sheetFormatPr baseColWidth="8" defaultRowHeight="15"/>
  <cols>
    <col width="26" customWidth="1" min="1" max="1"/>
    <col width="110" customWidth="1" min="2" max="2"/>
  </cols>
  <sheetData>
    <row r="1" ht="26" customHeight="1">
      <c r="A1" s="1" t="inlineStr">
        <is>
          <t>SARAMIN VN — TEST CASES · FILE 1 of 2 · JOBSEEKER</t>
        </is>
      </c>
    </row>
    <row r="3" ht="30" customHeight="1">
      <c r="A3" s="2" t="inlineStr">
        <is>
          <t>This workbook covers everything a jobseeker does: creating an account, signing in, onboarding, building and managing a CV, finding jobs, applying, and closing the account.</t>
        </is>
      </c>
    </row>
    <row r="4" ht="15" customHeight="1">
      <c r="A4" s="2" t="inlineStr">
        <is>
          <t>File 2 (Admin &amp; Company) covers the other side: product, company, quotation, PO, invoice, and posting the jobs that show up here.</t>
        </is>
      </c>
    </row>
    <row r="5" ht="30" customHeight="1">
      <c r="A5" s="2" t="inlineStr">
        <is>
          <t>You do not need to know the system to use this workbook. Every test case tells you what to set up, what to click, and what you should see.</t>
        </is>
      </c>
    </row>
    <row r="6" ht="30" customHeight="1">
      <c r="A6" s="2" t="inlineStr">
        <is>
          <t>If anything in a test case does not match the product you are testing, do not guess — mark it Fail or Blocked and write down exactly what you saw. A test case that is wrong is also useful information.</t>
        </is>
      </c>
    </row>
    <row r="8" ht="20" customHeight="1">
      <c r="A8" s="3" t="inlineStr">
        <is>
          <t>WHAT IS IN EACH SHEET</t>
        </is>
      </c>
      <c r="B8" s="4" t="inlineStr"/>
    </row>
    <row r="9" ht="28" customHeight="1">
      <c r="A9" s="5" t="inlineStr">
        <is>
          <t>SUMMARY</t>
        </is>
      </c>
      <c r="B9" s="6" t="inlineStr">
        <is>
          <t>Counts Pass / Fail / Blocked / Not Run automatically from every sheet. You never type in it — it fills itself from the Status column.</t>
        </is>
      </c>
    </row>
    <row r="10" ht="16" customHeight="1">
      <c r="A10" s="5" t="inlineStr">
        <is>
          <t>JS-01 Sign up email</t>
        </is>
      </c>
      <c r="B10" s="6" t="inlineStr">
        <is>
          <t>Creating an account with email + password, and confirming the email address.</t>
        </is>
      </c>
    </row>
    <row r="11" ht="16" customHeight="1">
      <c r="A11" s="5" t="inlineStr">
        <is>
          <t>JS-02 Social login</t>
        </is>
      </c>
      <c r="B11" s="6" t="inlineStr">
        <is>
          <t>Signing up and signing in with Facebook, Google, LinkedIn and GitHub, and the completion step that follows.</t>
        </is>
      </c>
    </row>
    <row r="12" ht="16" customHeight="1">
      <c r="A12" s="5" t="inlineStr">
        <is>
          <t>JS-03 Sign in</t>
        </is>
      </c>
      <c r="B12" s="6" t="inlineStr">
        <is>
          <t>Signing in, forgotten password, lockout, and what happens for suspended / deactivated accounts.</t>
        </is>
      </c>
    </row>
    <row r="13" ht="16" customHeight="1">
      <c r="A13" s="5" t="inlineStr">
        <is>
          <t>JS-04 Onboarding</t>
        </is>
      </c>
      <c r="B13" s="6" t="inlineStr">
        <is>
          <t>The 4-step wizard that runs straight after sign-up, and the matched-jobs page at the end.</t>
        </is>
      </c>
    </row>
    <row r="14" ht="16" customHeight="1">
      <c r="A14" s="5" t="inlineStr">
        <is>
          <t>JS-05 Create CV</t>
        </is>
      </c>
      <c r="B14" s="6" t="inlineStr">
        <is>
          <t>Uploading a CV file, converting it to a Saramin CV, and building one from scratch.</t>
        </is>
      </c>
    </row>
    <row r="15" ht="16" customHeight="1">
      <c r="A15" s="5" t="inlineStr">
        <is>
          <t>JS-06 Manage CV</t>
        </is>
      </c>
      <c r="B15" s="6" t="inlineStr">
        <is>
          <t>My CVs: which CV employers can find, visibility, unlock history, rename, delete, replace.</t>
        </is>
      </c>
    </row>
    <row r="16" ht="16" customHeight="1">
      <c r="A16" s="5" t="inlineStr">
        <is>
          <t>JS-07 Find jobs</t>
        </is>
      </c>
      <c r="B16" s="6" t="inlineStr">
        <is>
          <t>Homepage rails, search with filters and sorting, and the job detail page.</t>
        </is>
      </c>
    </row>
    <row r="17" ht="16" customHeight="1">
      <c r="A17" s="5" t="inlineStr">
        <is>
          <t>JS-08 Apply to a job</t>
        </is>
      </c>
      <c r="B17" s="6" t="inlineStr">
        <is>
          <t>The apply screen, what it pre-fills, and everything that must stop a bad application.</t>
        </is>
      </c>
    </row>
    <row r="18" ht="16" customHeight="1">
      <c r="A18" s="5" t="inlineStr">
        <is>
          <t>JS-09 My applications</t>
        </is>
      </c>
      <c r="B18" s="6" t="inlineStr">
        <is>
          <t>Tracking an application and checking the status matches what the employer set.</t>
        </is>
      </c>
    </row>
    <row r="19" ht="16" customHeight="1">
      <c r="A19" s="5" t="inlineStr">
        <is>
          <t>JS-10 My page</t>
        </is>
      </c>
      <c r="B19" s="6" t="inlineStr">
        <is>
          <t>Profile, avatar, email change, notification settings, and deactivating the account.</t>
        </is>
      </c>
    </row>
    <row r="20" ht="16" customHeight="1">
      <c r="A20" s="5" t="inlineStr">
        <is>
          <t>BUG LOG</t>
        </is>
      </c>
      <c r="B20" s="6" t="inlineStr">
        <is>
          <t>One row per failed test case. Delete the grey example row before you start.</t>
        </is>
      </c>
    </row>
    <row r="22" ht="20" customHeight="1">
      <c r="A22" s="3" t="inlineStr">
        <is>
          <t>WORDS YOU WILL SEE (plain English)</t>
        </is>
      </c>
      <c r="B22" s="4" t="inlineStr"/>
    </row>
    <row r="23" ht="16" customHeight="1">
      <c r="A23" s="5" t="inlineStr">
        <is>
          <t>Jobseeker</t>
        </is>
      </c>
      <c r="B23" s="6" t="inlineStr">
        <is>
          <t>The person looking for a job. Also called 'candidate'.</t>
        </is>
      </c>
    </row>
    <row r="24" ht="16" customHeight="1">
      <c r="A24" s="5" t="inlineStr">
        <is>
          <t>Employer / Company user</t>
        </is>
      </c>
      <c r="B24" s="6" t="inlineStr">
        <is>
          <t>The person at a company who posts jobs and reads applications.</t>
        </is>
      </c>
    </row>
    <row r="25" ht="16" customHeight="1">
      <c r="A25" s="5" t="inlineStr">
        <is>
          <t>Admin / HQ</t>
        </is>
      </c>
      <c r="B25" s="6" t="inlineStr">
        <is>
          <t>Saramin's own staff, working in the Admin site.</t>
        </is>
      </c>
    </row>
    <row r="26" ht="16" customHeight="1">
      <c r="A26" s="5" t="inlineStr">
        <is>
          <t>Pending verification</t>
        </is>
      </c>
      <c r="B26" s="6" t="inlineStr">
        <is>
          <t>An account that has signed up but has not clicked the link in the email yet. It can browse, but it cannot apply.</t>
        </is>
      </c>
    </row>
    <row r="27" ht="16" customHeight="1">
      <c r="A27" s="5" t="inlineStr">
        <is>
          <t>Active</t>
        </is>
      </c>
      <c r="B27" s="6" t="inlineStr">
        <is>
          <t>A fully working account. Only an Active account can apply to a job.</t>
        </is>
      </c>
    </row>
    <row r="28" ht="16" customHeight="1">
      <c r="A28" s="5" t="inlineStr">
        <is>
          <t>Suspended</t>
        </is>
      </c>
      <c r="B28" s="6" t="inlineStr">
        <is>
          <t>An account blocked by Saramin staff. It cannot sign in.</t>
        </is>
      </c>
    </row>
    <row r="29" ht="16" customHeight="1">
      <c r="A29" s="5" t="inlineStr">
        <is>
          <t>Deactivated</t>
        </is>
      </c>
      <c r="B29" s="6" t="inlineStr">
        <is>
          <t>An account the person closed themselves. It can come back within a grace window.</t>
        </is>
      </c>
    </row>
    <row r="30" ht="28" customHeight="1">
      <c r="A30" s="5" t="inlineStr">
        <is>
          <t>Completion step</t>
        </is>
      </c>
      <c r="B30" s="6" t="inlineStr">
        <is>
          <t>The extra screen after a social sign-up that asks for the phone number and the Terms — a provider cannot give us those.</t>
        </is>
      </c>
    </row>
    <row r="31" ht="16" customHeight="1">
      <c r="A31" s="5" t="inlineStr">
        <is>
          <t>Onboarding</t>
        </is>
      </c>
      <c r="B31" s="6" t="inlineStr">
        <is>
          <t>The short 4-step wizard that runs right after an account is created.</t>
        </is>
      </c>
    </row>
    <row r="32" ht="16" customHeight="1">
      <c r="A32" s="5" t="inlineStr">
        <is>
          <t>Searchable CV</t>
        </is>
      </c>
      <c r="B32" s="6" t="inlineStr">
        <is>
          <t>The ONE CV that employers can find you by. Your other CVs still work for applying.</t>
        </is>
      </c>
    </row>
    <row r="33" ht="16" customHeight="1">
      <c r="A33" s="5" t="inlineStr">
        <is>
          <t>Discoverable / Hidden</t>
        </is>
      </c>
      <c r="B33" s="6" t="inlineStr">
        <is>
          <t>Whether employers can find you at all in CV search. This is your own consent — nobody else can change it.</t>
        </is>
      </c>
    </row>
    <row r="34" ht="16" customHeight="1">
      <c r="A34" s="5" t="inlineStr">
        <is>
          <t>Open / Exposure On</t>
        </is>
      </c>
      <c r="B34" s="6" t="inlineStr">
        <is>
          <t>A job is only visible to jobseekers when its status is Open AND its exposure switch is On. Both must be true.</t>
        </is>
      </c>
    </row>
    <row r="35" ht="16" customHeight="1">
      <c r="A35" s="5" t="inlineStr">
        <is>
          <t>Stage</t>
        </is>
      </c>
      <c r="B35" s="6" t="inlineStr">
        <is>
          <t>Where the employer has moved your application to: New, Reviewing, Shortlisted, Interview, Hired, Rejected.</t>
        </is>
      </c>
    </row>
    <row r="36" ht="16" customHeight="1">
      <c r="A36" s="5" t="inlineStr">
        <is>
          <t>Snapshot</t>
        </is>
      </c>
      <c r="B36" s="6" t="inlineStr">
        <is>
          <t>A frozen copy. Your CV is snapshotted when you apply, so later edits do not change what the employer received.</t>
        </is>
      </c>
    </row>
    <row r="38" ht="20" customHeight="1">
      <c r="A38" s="3" t="inlineStr">
        <is>
          <t>HOW TO RUN A TEST CASE</t>
        </is>
      </c>
      <c r="B38" s="4" t="inlineStr"/>
    </row>
    <row r="39" ht="16" customHeight="1">
      <c r="A39" s="5" t="inlineStr">
        <is>
          <t>1. Read the Pre-condition</t>
        </is>
      </c>
      <c r="B39" s="6" t="inlineStr">
        <is>
          <t>This is what must already be true before you start. If you cannot set it up, put Blocked in Status and say why.</t>
        </is>
      </c>
    </row>
    <row r="40" ht="16" customHeight="1">
      <c r="A40" s="5" t="inlineStr">
        <is>
          <t>2. Do the Test Steps in order</t>
        </is>
      </c>
      <c r="B40" s="6" t="inlineStr">
        <is>
          <t>Do not skip a step and do not do them out of order. Each numbered line is one action.</t>
        </is>
      </c>
    </row>
    <row r="41" ht="16" customHeight="1">
      <c r="A41" s="5" t="inlineStr">
        <is>
          <t>3. Use the Test Data given</t>
        </is>
      </c>
      <c r="B41" s="6" t="inlineStr">
        <is>
          <t>If a value is not given, use anything sensible, then write what you used in Notes.</t>
        </is>
      </c>
    </row>
    <row r="42" ht="16" customHeight="1">
      <c r="A42" s="5" t="inlineStr">
        <is>
          <t>4. Compare with Expected Result</t>
        </is>
      </c>
      <c r="B42" s="6" t="inlineStr">
        <is>
          <t>Every sentence in Expected Result must be true. If even one is not true, the test Fails.</t>
        </is>
      </c>
    </row>
    <row r="43" ht="16" customHeight="1">
      <c r="A43" s="5" t="inlineStr">
        <is>
          <t>5. Fill the yellow columns</t>
        </is>
      </c>
      <c r="B43" s="6" t="inlineStr">
        <is>
          <t>Actual Result = what really happened. Status = Pass / Fail / Blocked / Not Run. Add your name and the date.</t>
        </is>
      </c>
    </row>
    <row r="44" ht="16" customHeight="1">
      <c r="A44" s="5" t="inlineStr">
        <is>
          <t>6. Raise a bug for every Fail</t>
        </is>
      </c>
      <c r="B44" s="6" t="inlineStr">
        <is>
          <t>Put the bug ID in Notes / Bug ID so the developer can find it. A Fail with no bug is lost work.</t>
        </is>
      </c>
    </row>
    <row r="45" ht="16" customHeight="1">
      <c r="A45" s="5" t="inlineStr">
        <is>
          <t>Screenshots</t>
        </is>
      </c>
      <c r="B45" s="6" t="inlineStr">
        <is>
          <t>Always attach a screenshot for a Fail. For anything about money, quota or status, screenshot before AND after.</t>
        </is>
      </c>
    </row>
    <row r="47" ht="20" customHeight="1">
      <c r="A47" s="3" t="inlineStr">
        <is>
          <t>PRIORITY MEANING</t>
        </is>
      </c>
      <c r="B47" s="4" t="inlineStr"/>
    </row>
    <row r="48" ht="16" customHeight="1">
      <c r="A48" s="5" t="inlineStr">
        <is>
          <t>High</t>
        </is>
      </c>
      <c r="B48" s="6" t="inlineStr">
        <is>
          <t>Must pass before release. If it fails, the feature cannot be used.</t>
        </is>
      </c>
    </row>
    <row r="49" ht="16" customHeight="1">
      <c r="A49" s="5" t="inlineStr">
        <is>
          <t>Medium</t>
        </is>
      </c>
      <c r="B49" s="6" t="inlineStr">
        <is>
          <t>Important, but there is a workaround or it affects fewer users.</t>
        </is>
      </c>
    </row>
    <row r="50" ht="16" customHeight="1">
      <c r="A50" s="5" t="inlineStr">
        <is>
          <t>Low</t>
        </is>
      </c>
      <c r="B50" s="6" t="inlineStr">
        <is>
          <t>Nice to have. Usually wording, layout or a rare case.</t>
        </is>
      </c>
    </row>
    <row r="52" ht="20" customHeight="1">
      <c r="A52" s="3" t="inlineStr">
        <is>
          <t>TYPE MEANING</t>
        </is>
      </c>
      <c r="B52" s="4" t="inlineStr"/>
    </row>
    <row r="53" ht="16" customHeight="1">
      <c r="A53" s="5" t="inlineStr">
        <is>
          <t>Positive</t>
        </is>
      </c>
      <c r="B53" s="6" t="inlineStr">
        <is>
          <t>The normal, correct way of using the feature. It should work.</t>
        </is>
      </c>
    </row>
    <row r="54" ht="16" customHeight="1">
      <c r="A54" s="5" t="inlineStr">
        <is>
          <t>Negative</t>
        </is>
      </c>
      <c r="B54" s="6" t="inlineStr">
        <is>
          <t>Wrong or not-allowed input. The system should stop you with a clear message.</t>
        </is>
      </c>
    </row>
    <row r="55" ht="16" customHeight="1">
      <c r="A55" s="5" t="inlineStr">
        <is>
          <t>Edge</t>
        </is>
      </c>
      <c r="B55" s="6" t="inlineStr">
        <is>
          <t>An unusual but real situation (limits, timing, expiry, two people at once).</t>
        </is>
      </c>
    </row>
  </sheetData>
  <mergeCells count="5">
    <mergeCell ref="A4:B4"/>
    <mergeCell ref="A5:B5"/>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showGridLines="0" workbookViewId="0">
      <selection activeCell="A1" sqref="A1"/>
    </sheetView>
  </sheetViews>
  <sheetFormatPr baseColWidth="8" defaultRowHeight="15"/>
  <cols>
    <col width="34" customWidth="1" min="1" max="1"/>
    <col width="14" customWidth="1" min="2" max="2"/>
    <col width="12" customWidth="1" min="3" max="3"/>
    <col width="12" customWidth="1" min="4" max="4"/>
    <col width="12" customWidth="1" min="5" max="5"/>
    <col width="12" customWidth="1" min="6" max="6"/>
    <col width="14" customWidth="1" min="7" max="7"/>
  </cols>
  <sheetData>
    <row r="1">
      <c r="A1" s="7" t="inlineStr">
        <is>
          <t>Test execution summary</t>
        </is>
      </c>
    </row>
    <row r="2" ht="24" customHeight="1">
      <c r="A2" s="8" t="inlineStr">
        <is>
          <t>Type Pass / Fail / Blocked / Not Run in the Status column of each sheet — these numbers update by themselves. '% Executed' means how many cases you have actually run (Pass + Fail + Blocked).</t>
        </is>
      </c>
    </row>
    <row r="4" ht="24" customHeight="1">
      <c r="A4" s="9" t="inlineStr">
        <is>
          <t>Sheet</t>
        </is>
      </c>
      <c r="B4" s="9" t="inlineStr">
        <is>
          <t>Total cases</t>
        </is>
      </c>
      <c r="C4" s="9" t="inlineStr">
        <is>
          <t>Pass</t>
        </is>
      </c>
      <c r="D4" s="9" t="inlineStr">
        <is>
          <t>Fail</t>
        </is>
      </c>
      <c r="E4" s="9" t="inlineStr">
        <is>
          <t>Blocked</t>
        </is>
      </c>
      <c r="F4" s="9" t="inlineStr">
        <is>
          <t>Not Run</t>
        </is>
      </c>
      <c r="G4" s="9" t="inlineStr">
        <is>
          <t>% Executed</t>
        </is>
      </c>
    </row>
    <row r="5">
      <c r="A5" s="10" t="inlineStr">
        <is>
          <t>JS-01 Sign up email</t>
        </is>
      </c>
      <c r="B5" s="11" t="n">
        <v>18</v>
      </c>
      <c r="C5" s="11">
        <f>COUNTIF('JS-01 Sign up email'!K:K,"Pass")</f>
        <v/>
      </c>
      <c r="D5" s="11">
        <f>COUNTIF('JS-01 Sign up email'!K:K,"Fail")</f>
        <v/>
      </c>
      <c r="E5" s="11">
        <f>COUNTIF('JS-01 Sign up email'!K:K,"Blocked")</f>
        <v/>
      </c>
      <c r="F5" s="11">
        <f>COUNTIF('JS-01 Sign up email'!K:K,"Not Run")</f>
        <v/>
      </c>
      <c r="G5" s="12">
        <f>IFERROR((C5+D5+E5)/B5,0)</f>
        <v/>
      </c>
    </row>
    <row r="6">
      <c r="A6" s="10" t="inlineStr">
        <is>
          <t>JS-02 Social login</t>
        </is>
      </c>
      <c r="B6" s="11" t="n">
        <v>17</v>
      </c>
      <c r="C6" s="11">
        <f>COUNTIF('JS-02 Social login'!K:K,"Pass")</f>
        <v/>
      </c>
      <c r="D6" s="11">
        <f>COUNTIF('JS-02 Social login'!K:K,"Fail")</f>
        <v/>
      </c>
      <c r="E6" s="11">
        <f>COUNTIF('JS-02 Social login'!K:K,"Blocked")</f>
        <v/>
      </c>
      <c r="F6" s="11">
        <f>COUNTIF('JS-02 Social login'!K:K,"Not Run")</f>
        <v/>
      </c>
      <c r="G6" s="12">
        <f>IFERROR((C6+D6+E6)/B6,0)</f>
        <v/>
      </c>
    </row>
    <row r="7">
      <c r="A7" s="10" t="inlineStr">
        <is>
          <t>JS-03 Sign in</t>
        </is>
      </c>
      <c r="B7" s="11" t="n">
        <v>13</v>
      </c>
      <c r="C7" s="11">
        <f>COUNTIF('JS-03 Sign in'!K:K,"Pass")</f>
        <v/>
      </c>
      <c r="D7" s="11">
        <f>COUNTIF('JS-03 Sign in'!K:K,"Fail")</f>
        <v/>
      </c>
      <c r="E7" s="11">
        <f>COUNTIF('JS-03 Sign in'!K:K,"Blocked")</f>
        <v/>
      </c>
      <c r="F7" s="11">
        <f>COUNTIF('JS-03 Sign in'!K:K,"Not Run")</f>
        <v/>
      </c>
      <c r="G7" s="12">
        <f>IFERROR((C7+D7+E7)/B7,0)</f>
        <v/>
      </c>
    </row>
    <row r="8">
      <c r="A8" s="10" t="inlineStr">
        <is>
          <t>JS-04 Onboarding</t>
        </is>
      </c>
      <c r="B8" s="11" t="n">
        <v>16</v>
      </c>
      <c r="C8" s="11">
        <f>COUNTIF('JS-04 Onboarding'!K:K,"Pass")</f>
        <v/>
      </c>
      <c r="D8" s="11">
        <f>COUNTIF('JS-04 Onboarding'!K:K,"Fail")</f>
        <v/>
      </c>
      <c r="E8" s="11">
        <f>COUNTIF('JS-04 Onboarding'!K:K,"Blocked")</f>
        <v/>
      </c>
      <c r="F8" s="11">
        <f>COUNTIF('JS-04 Onboarding'!K:K,"Not Run")</f>
        <v/>
      </c>
      <c r="G8" s="12">
        <f>IFERROR((C8+D8+E8)/B8,0)</f>
        <v/>
      </c>
    </row>
    <row r="9">
      <c r="A9" s="10" t="inlineStr">
        <is>
          <t>JS-05 Create CV</t>
        </is>
      </c>
      <c r="B9" s="11" t="n">
        <v>28</v>
      </c>
      <c r="C9" s="11">
        <f>COUNTIF('JS-05 Create CV'!K:K,"Pass")</f>
        <v/>
      </c>
      <c r="D9" s="11">
        <f>COUNTIF('JS-05 Create CV'!K:K,"Fail")</f>
        <v/>
      </c>
      <c r="E9" s="11">
        <f>COUNTIF('JS-05 Create CV'!K:K,"Blocked")</f>
        <v/>
      </c>
      <c r="F9" s="11">
        <f>COUNTIF('JS-05 Create CV'!K:K,"Not Run")</f>
        <v/>
      </c>
      <c r="G9" s="12">
        <f>IFERROR((C9+D9+E9)/B9,0)</f>
        <v/>
      </c>
    </row>
    <row r="10">
      <c r="A10" s="10" t="inlineStr">
        <is>
          <t>JS-06 Manage CV</t>
        </is>
      </c>
      <c r="B10" s="11" t="n">
        <v>17</v>
      </c>
      <c r="C10" s="11">
        <f>COUNTIF('JS-06 Manage CV'!K:K,"Pass")</f>
        <v/>
      </c>
      <c r="D10" s="11">
        <f>COUNTIF('JS-06 Manage CV'!K:K,"Fail")</f>
        <v/>
      </c>
      <c r="E10" s="11">
        <f>COUNTIF('JS-06 Manage CV'!K:K,"Blocked")</f>
        <v/>
      </c>
      <c r="F10" s="11">
        <f>COUNTIF('JS-06 Manage CV'!K:K,"Not Run")</f>
        <v/>
      </c>
      <c r="G10" s="12">
        <f>IFERROR((C10+D10+E10)/B10,0)</f>
        <v/>
      </c>
    </row>
    <row r="11">
      <c r="A11" s="10" t="inlineStr">
        <is>
          <t>JS-07 Find jobs</t>
        </is>
      </c>
      <c r="B11" s="11" t="n">
        <v>21</v>
      </c>
      <c r="C11" s="11">
        <f>COUNTIF('JS-07 Find jobs'!K:K,"Pass")</f>
        <v/>
      </c>
      <c r="D11" s="11">
        <f>COUNTIF('JS-07 Find jobs'!K:K,"Fail")</f>
        <v/>
      </c>
      <c r="E11" s="11">
        <f>COUNTIF('JS-07 Find jobs'!K:K,"Blocked")</f>
        <v/>
      </c>
      <c r="F11" s="11">
        <f>COUNTIF('JS-07 Find jobs'!K:K,"Not Run")</f>
        <v/>
      </c>
      <c r="G11" s="12">
        <f>IFERROR((C11+D11+E11)/B11,0)</f>
        <v/>
      </c>
    </row>
    <row r="12">
      <c r="A12" s="10" t="inlineStr">
        <is>
          <t>JS-08 Apply to a job</t>
        </is>
      </c>
      <c r="B12" s="11" t="n">
        <v>20</v>
      </c>
      <c r="C12" s="11">
        <f>COUNTIF('JS-08 Apply to a job'!K:K,"Pass")</f>
        <v/>
      </c>
      <c r="D12" s="11">
        <f>COUNTIF('JS-08 Apply to a job'!K:K,"Fail")</f>
        <v/>
      </c>
      <c r="E12" s="11">
        <f>COUNTIF('JS-08 Apply to a job'!K:K,"Blocked")</f>
        <v/>
      </c>
      <c r="F12" s="11">
        <f>COUNTIF('JS-08 Apply to a job'!K:K,"Not Run")</f>
        <v/>
      </c>
      <c r="G12" s="12">
        <f>IFERROR((C12+D12+E12)/B12,0)</f>
        <v/>
      </c>
    </row>
    <row r="13">
      <c r="A13" s="10" t="inlineStr">
        <is>
          <t>JS-09 My applications</t>
        </is>
      </c>
      <c r="B13" s="11" t="n">
        <v>10</v>
      </c>
      <c r="C13" s="11">
        <f>COUNTIF('JS-09 My applications'!K:K,"Pass")</f>
        <v/>
      </c>
      <c r="D13" s="11">
        <f>COUNTIF('JS-09 My applications'!K:K,"Fail")</f>
        <v/>
      </c>
      <c r="E13" s="11">
        <f>COUNTIF('JS-09 My applications'!K:K,"Blocked")</f>
        <v/>
      </c>
      <c r="F13" s="11">
        <f>COUNTIF('JS-09 My applications'!K:K,"Not Run")</f>
        <v/>
      </c>
      <c r="G13" s="12">
        <f>IFERROR((C13+D13+E13)/B13,0)</f>
        <v/>
      </c>
    </row>
    <row r="14">
      <c r="A14" s="10" t="inlineStr">
        <is>
          <t>JS-10 My page</t>
        </is>
      </c>
      <c r="B14" s="11" t="n">
        <v>18</v>
      </c>
      <c r="C14" s="11">
        <f>COUNTIF('JS-10 My page'!K:K,"Pass")</f>
        <v/>
      </c>
      <c r="D14" s="11">
        <f>COUNTIF('JS-10 My page'!K:K,"Fail")</f>
        <v/>
      </c>
      <c r="E14" s="11">
        <f>COUNTIF('JS-10 My page'!K:K,"Blocked")</f>
        <v/>
      </c>
      <c r="F14" s="11">
        <f>COUNTIF('JS-10 My page'!K:K,"Not Run")</f>
        <v/>
      </c>
      <c r="G14" s="12">
        <f>IFERROR((C14+D14+E14)/B14,0)</f>
        <v/>
      </c>
    </row>
    <row r="15">
      <c r="A15" s="13" t="inlineStr">
        <is>
          <t>TOTAL</t>
        </is>
      </c>
      <c r="B15" s="14">
        <f>SUM(B5:B14)</f>
        <v/>
      </c>
      <c r="C15" s="14">
        <f>SUM(C5:C14)</f>
        <v/>
      </c>
      <c r="D15" s="14">
        <f>SUM(D5:D14)</f>
        <v/>
      </c>
      <c r="E15" s="14">
        <f>SUM(E5:E14)</f>
        <v/>
      </c>
      <c r="F15" s="14">
        <f>SUM(F5:F14)</f>
        <v/>
      </c>
      <c r="G15" s="15">
        <f>IFERROR((C15+D15+E15)/B15,0)</f>
        <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JS-01 · Sign up with email, and email verification</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JS-01-01</t>
        </is>
      </c>
      <c r="B4" s="6" t="inlineStr">
        <is>
          <t>Sign up (email)</t>
        </is>
      </c>
      <c r="C4" s="6" t="inlineStr">
        <is>
          <t>Sign up page opens and shows every field the spec asks for</t>
        </is>
      </c>
      <c r="D4" s="18" t="inlineStr">
        <is>
          <t>Positive</t>
        </is>
      </c>
      <c r="E4" s="19" t="inlineStr">
        <is>
          <t>High</t>
        </is>
      </c>
      <c r="F4" s="6" t="inlineStr">
        <is>
          <t>You are logged out. You are on the Jobseeker homepage.</t>
        </is>
      </c>
      <c r="G4" s="6" t="inlineStr">
        <is>
          <t>1. Click the 'Sign up' button in the page header.
2. Look at the form that opens.
3. Write down every field you can see.</t>
        </is>
      </c>
      <c r="H4" s="6" t="inlineStr">
        <is>
          <t>-</t>
        </is>
      </c>
      <c r="I4" s="6" t="inlineStr">
        <is>
          <t>The sign-up form opens.
It shows: Full name (ONE box, not First name + Last name), Email, Password, Phone, an optional Personal details group (date of birth, nationality, gender, marital status), and a tick box for Terms &amp; Privacy.
It also shows 4 social buttons: Facebook, Google, LinkedIn, GitHub.</t>
        </is>
      </c>
      <c r="J4" s="20" t="inlineStr"/>
      <c r="K4" s="21" t="inlineStr"/>
      <c r="L4" s="20" t="inlineStr"/>
      <c r="M4" s="21" t="inlineStr"/>
      <c r="N4" s="20" t="inlineStr"/>
    </row>
    <row r="5" ht="108" customHeight="1">
      <c r="A5" s="22" t="inlineStr">
        <is>
          <t>JS-01-02</t>
        </is>
      </c>
      <c r="B5" s="23" t="inlineStr">
        <is>
          <t>Sign up (email)</t>
        </is>
      </c>
      <c r="C5" s="23" t="inlineStr">
        <is>
          <t>Create an account with correct information</t>
        </is>
      </c>
      <c r="D5" s="18" t="inlineStr">
        <is>
          <t>Positive</t>
        </is>
      </c>
      <c r="E5" s="19" t="inlineStr">
        <is>
          <t>High</t>
        </is>
      </c>
      <c r="F5" s="23" t="inlineStr">
        <is>
          <t>You are logged out. The email you will use has never been registered before.</t>
        </is>
      </c>
      <c r="G5" s="23" t="inlineStr">
        <is>
          <t>1. Open the Sign up page.
2. Type a Full name.
3. Type a brand-new email address you can open.
4. Type a password with at least 8 characters, containing letters and numbers.
5. Type a phone number.
6. Tick the Terms &amp; Privacy box.
7. Click 'Create account'.
8. Open the inbox of that email address.</t>
        </is>
      </c>
      <c r="H5" s="23" t="inlineStr">
        <is>
          <t>Full name: Nguyen Van Test
Email: a fresh address you control
Password: Test1234
Phone: 0901234567</t>
        </is>
      </c>
      <c r="I5" s="23" t="inlineStr">
        <is>
          <t>The account is created.
You are NOT stopped on a 'check your inbox' dead-end page — you go straight into the Onboarding wizard.
A banner appears telling you to confirm your email, with a 'resend' action.
A verification email arrives in the inbox.</t>
        </is>
      </c>
      <c r="J5" s="20" t="inlineStr"/>
      <c r="K5" s="21" t="inlineStr"/>
      <c r="L5" s="20" t="inlineStr"/>
      <c r="M5" s="21" t="inlineStr"/>
      <c r="N5" s="20" t="inlineStr"/>
    </row>
    <row r="6" ht="28" customHeight="1">
      <c r="A6" s="17" t="inlineStr">
        <is>
          <t>JS-01-03</t>
        </is>
      </c>
      <c r="B6" s="6" t="inlineStr">
        <is>
          <t>Sign up (email)</t>
        </is>
      </c>
      <c r="C6" s="6" t="inlineStr">
        <is>
          <t>Full name is one single box — never split into first name / last name</t>
        </is>
      </c>
      <c r="D6" s="18" t="inlineStr">
        <is>
          <t>Positive</t>
        </is>
      </c>
      <c r="E6" s="24" t="inlineStr">
        <is>
          <t>Medium</t>
        </is>
      </c>
      <c r="F6" s="6" t="inlineStr">
        <is>
          <t>You are on the Sign up page.</t>
        </is>
      </c>
      <c r="G6" s="6" t="inlineStr">
        <is>
          <t>1. Look at the name area of the form.</t>
        </is>
      </c>
      <c r="H6" s="6" t="inlineStr">
        <is>
          <t>-</t>
        </is>
      </c>
      <c r="I6" s="6" t="inlineStr">
        <is>
          <t>There is exactly ONE box labelled 'Full name'.
There is NO 'First name' box and NO 'Last name' box anywhere on the form.</t>
        </is>
      </c>
      <c r="J6" s="20" t="inlineStr"/>
      <c r="K6" s="21" t="inlineStr"/>
      <c r="L6" s="20" t="inlineStr"/>
      <c r="M6" s="21" t="inlineStr"/>
      <c r="N6" s="20" t="inlineStr"/>
    </row>
    <row r="7" ht="40.5" customHeight="1">
      <c r="A7" s="22" t="inlineStr">
        <is>
          <t>JS-01-04</t>
        </is>
      </c>
      <c r="B7" s="23" t="inlineStr">
        <is>
          <t>Sign up (email)</t>
        </is>
      </c>
      <c r="C7" s="23" t="inlineStr">
        <is>
          <t>Sign up is refused when the email is already registered</t>
        </is>
      </c>
      <c r="D7" s="25" t="inlineStr">
        <is>
          <t>Negative</t>
        </is>
      </c>
      <c r="E7" s="19" t="inlineStr">
        <is>
          <t>High</t>
        </is>
      </c>
      <c r="F7" s="23" t="inlineStr">
        <is>
          <t>An account already exists on the email you will type (use the account from JS-01-02).</t>
        </is>
      </c>
      <c r="G7" s="23" t="inlineStr">
        <is>
          <t>1. Open the Sign up page.
2. Fill in the form using an email address that already has an account.
3. Click 'Create account'.</t>
        </is>
      </c>
      <c r="H7" s="23" t="inlineStr">
        <is>
          <t>Email: the same one used in JS-01-02</t>
        </is>
      </c>
      <c r="I7" s="23" t="inlineStr">
        <is>
          <t>A second account is NOT created.
A message tells you the email is already registered and offers you 'Sign in' or 'Reset password'.
You are not left guessing what to do next.</t>
        </is>
      </c>
      <c r="J7" s="20" t="inlineStr"/>
      <c r="K7" s="21" t="inlineStr"/>
      <c r="L7" s="20" t="inlineStr"/>
      <c r="M7" s="21" t="inlineStr"/>
      <c r="N7" s="20" t="inlineStr"/>
    </row>
    <row r="8" ht="54" customHeight="1">
      <c r="A8" s="17" t="inlineStr">
        <is>
          <t>JS-01-05</t>
        </is>
      </c>
      <c r="B8" s="6" t="inlineStr">
        <is>
          <t>Sign up (email)</t>
        </is>
      </c>
      <c r="C8" s="6" t="inlineStr">
        <is>
          <t>The same email in CAPITAL letters is still treated as the same account</t>
        </is>
      </c>
      <c r="D8" s="26" t="inlineStr">
        <is>
          <t>Edge</t>
        </is>
      </c>
      <c r="E8" s="19" t="inlineStr">
        <is>
          <t>High</t>
        </is>
      </c>
      <c r="F8" s="6" t="inlineStr">
        <is>
          <t>An account exists on test.user@mail.com.</t>
        </is>
      </c>
      <c r="G8" s="6" t="inlineStr">
        <is>
          <t>1. Open the Sign up page.
2. Type the same email but in capitals: TEST.USER@MAIL.COM.
3. Fill in the other fields.
4. Click 'Create account'.</t>
        </is>
      </c>
      <c r="H8" s="6" t="inlineStr">
        <is>
          <t>Email: TEST.USER@MAIL.COM</t>
        </is>
      </c>
      <c r="I8" s="6" t="inlineStr">
        <is>
          <t>The sign-up is refused exactly like JS-01-04.
Email is stored in small letters, so capitals do not create a second account.
(Ask a developer to confirm in the database that only ONE row exists for that email.)</t>
        </is>
      </c>
      <c r="J8" s="20" t="inlineStr"/>
      <c r="K8" s="21" t="inlineStr"/>
      <c r="L8" s="20" t="inlineStr"/>
      <c r="M8" s="21" t="inlineStr"/>
      <c r="N8" s="20" t="inlineStr"/>
    </row>
    <row r="9" ht="40.5" customHeight="1">
      <c r="A9" s="22" t="inlineStr">
        <is>
          <t>JS-01-06</t>
        </is>
      </c>
      <c r="B9" s="23" t="inlineStr">
        <is>
          <t>Sign up (email)</t>
        </is>
      </c>
      <c r="C9" s="23" t="inlineStr">
        <is>
          <t>Password shorter than 8 characters is refused</t>
        </is>
      </c>
      <c r="D9" s="25" t="inlineStr">
        <is>
          <t>Negative</t>
        </is>
      </c>
      <c r="E9" s="19" t="inlineStr">
        <is>
          <t>High</t>
        </is>
      </c>
      <c r="F9" s="23" t="inlineStr">
        <is>
          <t>You are on the Sign up page.</t>
        </is>
      </c>
      <c r="G9" s="23" t="inlineStr">
        <is>
          <t>1. Fill in the form normally.
2. In Password type: Test1
3. Click 'Create account'.</t>
        </is>
      </c>
      <c r="H9" s="23" t="inlineStr">
        <is>
          <t>Password: Test1</t>
        </is>
      </c>
      <c r="I9" s="23" t="inlineStr">
        <is>
          <t>The account is not created.
An error under the Password box says the password must be at least 8 characters.
The rest of what you typed is still on screen — you do not have to type it all again.</t>
        </is>
      </c>
      <c r="J9" s="20" t="inlineStr"/>
      <c r="K9" s="21" t="inlineStr"/>
      <c r="L9" s="20" t="inlineStr"/>
      <c r="M9" s="21" t="inlineStr"/>
      <c r="N9" s="20" t="inlineStr"/>
    </row>
    <row r="10" ht="40.5" customHeight="1">
      <c r="A10" s="17" t="inlineStr">
        <is>
          <t>JS-01-07</t>
        </is>
      </c>
      <c r="B10" s="6" t="inlineStr">
        <is>
          <t>Sign up (email)</t>
        </is>
      </c>
      <c r="C10" s="6" t="inlineStr">
        <is>
          <t>Password with letters only (no number) is refused</t>
        </is>
      </c>
      <c r="D10" s="25" t="inlineStr">
        <is>
          <t>Negative</t>
        </is>
      </c>
      <c r="E10" s="24" t="inlineStr">
        <is>
          <t>Medium</t>
        </is>
      </c>
      <c r="F10" s="6" t="inlineStr">
        <is>
          <t>You are on the Sign up page.</t>
        </is>
      </c>
      <c r="G10" s="6" t="inlineStr">
        <is>
          <t>1. Fill in the form normally.
2. In Password type: testpassword
3. Click 'Create account'.</t>
        </is>
      </c>
      <c r="H10" s="6" t="inlineStr">
        <is>
          <t>Password: testpassword</t>
        </is>
      </c>
      <c r="I10" s="6" t="inlineStr">
        <is>
          <t>The account is not created.
An error says the password must mix letters and numbers.
The live rule checklist next to the box shows which rule is not met yet.</t>
        </is>
      </c>
      <c r="J10" s="20" t="inlineStr"/>
      <c r="K10" s="21" t="inlineStr"/>
      <c r="L10" s="20" t="inlineStr"/>
      <c r="M10" s="21" t="inlineStr"/>
      <c r="N10" s="20" t="inlineStr"/>
    </row>
    <row r="11" ht="40.5" customHeight="1">
      <c r="A11" s="22" t="inlineStr">
        <is>
          <t>JS-01-08</t>
        </is>
      </c>
      <c r="B11" s="23" t="inlineStr">
        <is>
          <t>Sign up (email)</t>
        </is>
      </c>
      <c r="C11" s="23" t="inlineStr">
        <is>
          <t>Password strength meter reacts while you type</t>
        </is>
      </c>
      <c r="D11" s="18" t="inlineStr">
        <is>
          <t>Positive</t>
        </is>
      </c>
      <c r="E11" s="27" t="inlineStr">
        <is>
          <t>Low</t>
        </is>
      </c>
      <c r="F11" s="23" t="inlineStr">
        <is>
          <t>You are on the Sign up page.</t>
        </is>
      </c>
      <c r="G11" s="23" t="inlineStr">
        <is>
          <t>1. Click into the Password box.
2. Type slowly: a, then ab, then abc12345, then Abc12345!x
3. Watch the strength meter after each change.</t>
        </is>
      </c>
      <c r="H11" s="23" t="inlineStr">
        <is>
          <t>-</t>
        </is>
      </c>
      <c r="I11" s="23" t="inlineStr">
        <is>
          <t>The strength meter changes as the password gets stronger.
The password is never silently cut short — every character you type is kept.</t>
        </is>
      </c>
      <c r="J11" s="20" t="inlineStr"/>
      <c r="K11" s="21" t="inlineStr"/>
      <c r="L11" s="20" t="inlineStr"/>
      <c r="M11" s="21" t="inlineStr"/>
      <c r="N11" s="20" t="inlineStr"/>
    </row>
    <row r="12" ht="40.5" customHeight="1">
      <c r="A12" s="17" t="inlineStr">
        <is>
          <t>JS-01-09</t>
        </is>
      </c>
      <c r="B12" s="6" t="inlineStr">
        <is>
          <t>Sign up (email)</t>
        </is>
      </c>
      <c r="C12" s="6" t="inlineStr">
        <is>
          <t>Terms &amp; Privacy must be ticked before the account can be created</t>
        </is>
      </c>
      <c r="D12" s="25" t="inlineStr">
        <is>
          <t>Negative</t>
        </is>
      </c>
      <c r="E12" s="19" t="inlineStr">
        <is>
          <t>High</t>
        </is>
      </c>
      <c r="F12" s="6" t="inlineStr">
        <is>
          <t>You are on the Sign up page.</t>
        </is>
      </c>
      <c r="G12" s="6" t="inlineStr">
        <is>
          <t>1. Fill in every field correctly.
2. Do NOT tick the Terms &amp; Privacy box.
3. Try to click 'Create account'.</t>
        </is>
      </c>
      <c r="H12" s="6" t="inlineStr">
        <is>
          <t>-</t>
        </is>
      </c>
      <c r="I12" s="6" t="inlineStr">
        <is>
          <t>The account is not created.
Either the button cannot be pressed, or a message says you must accept the Terms &amp; Privacy first.</t>
        </is>
      </c>
      <c r="J12" s="20" t="inlineStr"/>
      <c r="K12" s="21" t="inlineStr"/>
      <c r="L12" s="20" t="inlineStr"/>
      <c r="M12" s="21" t="inlineStr"/>
      <c r="N12" s="20" t="inlineStr"/>
    </row>
    <row r="13" ht="40.5" customHeight="1">
      <c r="A13" s="22" t="inlineStr">
        <is>
          <t>JS-01-10</t>
        </is>
      </c>
      <c r="B13" s="23" t="inlineStr">
        <is>
          <t>Sign up (email)</t>
        </is>
      </c>
      <c r="C13" s="23" t="inlineStr">
        <is>
          <t>Badly formed email address is refused</t>
        </is>
      </c>
      <c r="D13" s="25" t="inlineStr">
        <is>
          <t>Negative</t>
        </is>
      </c>
      <c r="E13" s="24" t="inlineStr">
        <is>
          <t>Medium</t>
        </is>
      </c>
      <c r="F13" s="23" t="inlineStr">
        <is>
          <t>You are on the Sign up page.</t>
        </is>
      </c>
      <c r="G13" s="23" t="inlineStr">
        <is>
          <t>1. In Email type: test@@mail
2. Fill the rest of the form.
3. Click 'Create account'.</t>
        </is>
      </c>
      <c r="H13" s="23" t="inlineStr">
        <is>
          <t>Email: test@@mail</t>
        </is>
      </c>
      <c r="I13" s="23" t="inlineStr">
        <is>
          <t>The account is not created and an error says the email address is not valid.</t>
        </is>
      </c>
      <c r="J13" s="20" t="inlineStr"/>
      <c r="K13" s="21" t="inlineStr"/>
      <c r="L13" s="20" t="inlineStr"/>
      <c r="M13" s="21" t="inlineStr"/>
      <c r="N13" s="20" t="inlineStr"/>
    </row>
    <row r="14" ht="40.5" customHeight="1">
      <c r="A14" s="17" t="inlineStr">
        <is>
          <t>JS-01-11</t>
        </is>
      </c>
      <c r="B14" s="6" t="inlineStr">
        <is>
          <t>Sign up (email)</t>
        </is>
      </c>
      <c r="C14" s="6" t="inlineStr">
        <is>
          <t>Personal details (date of birth, nationality, gender, marital status) can be left empty</t>
        </is>
      </c>
      <c r="D14" s="18" t="inlineStr">
        <is>
          <t>Positive</t>
        </is>
      </c>
      <c r="E14" s="24" t="inlineStr">
        <is>
          <t>Medium</t>
        </is>
      </c>
      <c r="F14" s="6" t="inlineStr">
        <is>
          <t>You are on the Sign up page.</t>
        </is>
      </c>
      <c r="G14" s="6" t="inlineStr">
        <is>
          <t>1. Fill in only Full name, Email, Password, Phone and tick the Terms box.
2. Leave every Personal details field empty.
3. Click 'Create account'.</t>
        </is>
      </c>
      <c r="H14" s="6" t="inlineStr">
        <is>
          <t>-</t>
        </is>
      </c>
      <c r="I14" s="6" t="inlineStr">
        <is>
          <t>The account is created normally.
None of the four personal-detail fields is required.</t>
        </is>
      </c>
      <c r="J14" s="20" t="inlineStr"/>
      <c r="K14" s="21" t="inlineStr"/>
      <c r="L14" s="20" t="inlineStr"/>
      <c r="M14" s="21" t="inlineStr"/>
      <c r="N14" s="20" t="inlineStr"/>
    </row>
    <row r="15" ht="54" customHeight="1">
      <c r="A15" s="22" t="inlineStr">
        <is>
          <t>JS-01-12</t>
        </is>
      </c>
      <c r="B15" s="23" t="inlineStr">
        <is>
          <t>Email verification</t>
        </is>
      </c>
      <c r="C15" s="23" t="inlineStr">
        <is>
          <t>Clicking the verification link makes the account Active</t>
        </is>
      </c>
      <c r="D15" s="18" t="inlineStr">
        <is>
          <t>Positive</t>
        </is>
      </c>
      <c r="E15" s="19" t="inlineStr">
        <is>
          <t>High</t>
        </is>
      </c>
      <c r="F15" s="23" t="inlineStr">
        <is>
          <t>You have just signed up (JS-01-02) and the account is 'Pending verification'.</t>
        </is>
      </c>
      <c r="G15" s="23" t="inlineStr">
        <is>
          <t>1. Open the verification email.
2. Click the link in it.
3. Look at the page you land on.</t>
        </is>
      </c>
      <c r="H15" s="23" t="inlineStr">
        <is>
          <t>-</t>
        </is>
      </c>
      <c r="I15" s="23" t="inlineStr">
        <is>
          <t>The account becomes Active.
You are signed in.
You are taken back to whatever you were doing before (for example the job you wanted to apply to), not to a random page.
The 'confirm your email' banner is gone.</t>
        </is>
      </c>
      <c r="J15" s="20" t="inlineStr"/>
      <c r="K15" s="21" t="inlineStr"/>
      <c r="L15" s="20" t="inlineStr"/>
      <c r="M15" s="21" t="inlineStr"/>
      <c r="N15" s="20" t="inlineStr"/>
    </row>
    <row r="16" ht="54" customHeight="1">
      <c r="A16" s="17" t="inlineStr">
        <is>
          <t>JS-01-13</t>
        </is>
      </c>
      <c r="B16" s="6" t="inlineStr">
        <is>
          <t>Email verification</t>
        </is>
      </c>
      <c r="C16" s="6" t="inlineStr">
        <is>
          <t>A not-yet-verified account can browse jobs but CANNOT apply</t>
        </is>
      </c>
      <c r="D16" s="25" t="inlineStr">
        <is>
          <t>Negative</t>
        </is>
      </c>
      <c r="E16" s="19" t="inlineStr">
        <is>
          <t>High</t>
        </is>
      </c>
      <c r="F16" s="6" t="inlineStr">
        <is>
          <t>You have an account with status 'Pending verification'. You have NOT clicked the email link yet.</t>
        </is>
      </c>
      <c r="G16" s="6" t="inlineStr">
        <is>
          <t>1. Sign in with that account.
2. Search for a job and open a job detail page.
3. Read the whole job page.
4. Click 'Apply now'.</t>
        </is>
      </c>
      <c r="H16" s="6" t="inlineStr">
        <is>
          <t>-</t>
        </is>
      </c>
      <c r="I16" s="6" t="inlineStr">
        <is>
          <t>Browsing and reading the job works normally.
Applying does NOT work: a prompt appears asking you to confirm your email first (with a resend action).
It is a helpful prompt, not a bare error message.</t>
        </is>
      </c>
      <c r="J16" s="20" t="inlineStr"/>
      <c r="K16" s="21" t="inlineStr"/>
      <c r="L16" s="20" t="inlineStr"/>
      <c r="M16" s="21" t="inlineStr"/>
      <c r="N16" s="20" t="inlineStr"/>
    </row>
    <row r="17" ht="54" customHeight="1">
      <c r="A17" s="22" t="inlineStr">
        <is>
          <t>JS-01-14</t>
        </is>
      </c>
      <c r="B17" s="23" t="inlineStr">
        <is>
          <t>Email verification</t>
        </is>
      </c>
      <c r="C17" s="23" t="inlineStr">
        <is>
          <t>'Confirm your email' banner is visible everywhere until you verify</t>
        </is>
      </c>
      <c r="D17" s="18" t="inlineStr">
        <is>
          <t>Positive</t>
        </is>
      </c>
      <c r="E17" s="24" t="inlineStr">
        <is>
          <t>Medium</t>
        </is>
      </c>
      <c r="F17" s="23" t="inlineStr">
        <is>
          <t>You are signed in with a 'Pending verification' account.</t>
        </is>
      </c>
      <c r="G17" s="23" t="inlineStr">
        <is>
          <t>1. Visit the homepage.
2. Visit the search results page.
3. Visit My page.
4. Visit My CVs.</t>
        </is>
      </c>
      <c r="H17" s="23" t="inlineStr">
        <is>
          <t>-</t>
        </is>
      </c>
      <c r="I17" s="23" t="inlineStr">
        <is>
          <t>The 'confirm your email' banner is visible on every one of those pages, and it has a 'resend' action.</t>
        </is>
      </c>
      <c r="J17" s="20" t="inlineStr"/>
      <c r="K17" s="21" t="inlineStr"/>
      <c r="L17" s="20" t="inlineStr"/>
      <c r="M17" s="21" t="inlineStr"/>
      <c r="N17" s="20" t="inlineStr"/>
    </row>
    <row r="18" ht="54" customHeight="1">
      <c r="A18" s="17" t="inlineStr">
        <is>
          <t>JS-01-15</t>
        </is>
      </c>
      <c r="B18" s="6" t="inlineStr">
        <is>
          <t>Email verification</t>
        </is>
      </c>
      <c r="C18" s="6" t="inlineStr">
        <is>
          <t>Resend has a 60 second cooldown</t>
        </is>
      </c>
      <c r="D18" s="26" t="inlineStr">
        <is>
          <t>Edge</t>
        </is>
      </c>
      <c r="E18" s="24" t="inlineStr">
        <is>
          <t>Medium</t>
        </is>
      </c>
      <c r="F18" s="6" t="inlineStr">
        <is>
          <t>You are signed in with a 'Pending verification' account.</t>
        </is>
      </c>
      <c r="G18" s="6" t="inlineStr">
        <is>
          <t>1. Click 'resend' on the banner.
2. Immediately click 'resend' again.
3. Wait 60 seconds.
4. Click 'resend' again.</t>
        </is>
      </c>
      <c r="H18" s="6" t="inlineStr">
        <is>
          <t>-</t>
        </is>
      </c>
      <c r="I18" s="6" t="inlineStr">
        <is>
          <t>The first resend works.
The second one is blocked, with a countdown or a message saying to wait.
After 60 seconds the resend works again.</t>
        </is>
      </c>
      <c r="J18" s="20" t="inlineStr"/>
      <c r="K18" s="21" t="inlineStr"/>
      <c r="L18" s="20" t="inlineStr"/>
      <c r="M18" s="21" t="inlineStr"/>
      <c r="N18" s="20" t="inlineStr"/>
    </row>
    <row r="19" ht="40.5" customHeight="1">
      <c r="A19" s="22" t="inlineStr">
        <is>
          <t>JS-01-16</t>
        </is>
      </c>
      <c r="B19" s="23" t="inlineStr">
        <is>
          <t>Email verification</t>
        </is>
      </c>
      <c r="C19" s="23" t="inlineStr">
        <is>
          <t>An expired verification link (older than 24 hours) is refused politely</t>
        </is>
      </c>
      <c r="D19" s="26" t="inlineStr">
        <is>
          <t>Edge</t>
        </is>
      </c>
      <c r="E19" s="24" t="inlineStr">
        <is>
          <t>Medium</t>
        </is>
      </c>
      <c r="F19" s="23" t="inlineStr">
        <is>
          <t>You have a verification link that was sent more than 24 hours ago. (Ask a developer to shorten the expiry, or change the server date, if you cannot wait.)</t>
        </is>
      </c>
      <c r="G19" s="23" t="inlineStr">
        <is>
          <t>1. Click the old verification link.</t>
        </is>
      </c>
      <c r="H19" s="23" t="inlineStr">
        <is>
          <t>-</t>
        </is>
      </c>
      <c r="I19" s="23" t="inlineStr">
        <is>
          <t>The account is NOT verified.
A clear message says the link has expired and offers a button to send a new one.
You are not left on an error page with no way forward.</t>
        </is>
      </c>
      <c r="J19" s="20" t="inlineStr"/>
      <c r="K19" s="21" t="inlineStr"/>
      <c r="L19" s="20" t="inlineStr"/>
      <c r="M19" s="21" t="inlineStr"/>
      <c r="N19" s="20" t="inlineStr"/>
    </row>
    <row r="20" ht="40.5" customHeight="1">
      <c r="A20" s="17" t="inlineStr">
        <is>
          <t>JS-01-17</t>
        </is>
      </c>
      <c r="B20" s="6" t="inlineStr">
        <is>
          <t>Email verification</t>
        </is>
      </c>
      <c r="C20" s="6" t="inlineStr">
        <is>
          <t>A verification link cannot be used twice</t>
        </is>
      </c>
      <c r="D20" s="25" t="inlineStr">
        <is>
          <t>Negative</t>
        </is>
      </c>
      <c r="E20" s="24" t="inlineStr">
        <is>
          <t>Medium</t>
        </is>
      </c>
      <c r="F20" s="6" t="inlineStr">
        <is>
          <t>You have already used a verification link successfully (JS-02-01).</t>
        </is>
      </c>
      <c r="G20" s="6" t="inlineStr">
        <is>
          <t>1. Click the same link in the email a second time.</t>
        </is>
      </c>
      <c r="H20" s="6" t="inlineStr">
        <is>
          <t>-</t>
        </is>
      </c>
      <c r="I20" s="6" t="inlineStr">
        <is>
          <t>A clear message says the link has already been used.
Nothing breaks and the account stays Active.
A path to sign in or resend is offered.</t>
        </is>
      </c>
      <c r="J20" s="20" t="inlineStr"/>
      <c r="K20" s="21" t="inlineStr"/>
      <c r="L20" s="20" t="inlineStr"/>
      <c r="M20" s="21" t="inlineStr"/>
      <c r="N20" s="20" t="inlineStr"/>
    </row>
    <row r="21" ht="40.5" customHeight="1">
      <c r="A21" s="22" t="inlineStr">
        <is>
          <t>JS-01-18</t>
        </is>
      </c>
      <c r="B21" s="23" t="inlineStr">
        <is>
          <t>Email verification</t>
        </is>
      </c>
      <c r="C21" s="23" t="inlineStr">
        <is>
          <t>Password is never stored or shown in plain text</t>
        </is>
      </c>
      <c r="D21" s="18" t="inlineStr">
        <is>
          <t>Positive</t>
        </is>
      </c>
      <c r="E21" s="19" t="inlineStr">
        <is>
          <t>High</t>
        </is>
      </c>
      <c r="F21" s="23" t="inlineStr">
        <is>
          <t>An account exists. You have a developer with database access sitting with you.</t>
        </is>
      </c>
      <c r="G21" s="23" t="inlineStr">
        <is>
          <t>1. Ask the developer to open the jobseeker record in the database.
2. Look at the password column.
3. Search every email the system sent you for your password.</t>
        </is>
      </c>
      <c r="H21" s="23" t="inlineStr">
        <is>
          <t>-</t>
        </is>
      </c>
      <c r="I21" s="23" t="inlineStr">
        <is>
          <t>The password is stored only as a scrambled hash (bcrypt or argon2) — you cannot read the real password anywhere.
No email ever contains the password.</t>
        </is>
      </c>
      <c r="J21" s="20" t="inlineStr"/>
      <c r="K21" s="21" t="inlineStr"/>
      <c r="L21" s="20" t="inlineStr"/>
      <c r="M21" s="21" t="inlineStr"/>
      <c r="N21" s="20" t="inlineStr"/>
    </row>
  </sheetData>
  <autoFilter ref="A3:N21"/>
  <mergeCells count="2">
    <mergeCell ref="A2:N2"/>
    <mergeCell ref="A1:N1"/>
  </mergeCells>
  <dataValidations count="1">
    <dataValidation sqref="K4:K21"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JS-02 · Sign up and sign in with Facebook / Google / LinkedIn / GitHub</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28" customHeight="1">
      <c r="A4" s="17" t="inlineStr">
        <is>
          <t>JS-02-01</t>
        </is>
      </c>
      <c r="B4" s="6" t="inlineStr">
        <is>
          <t>Social sign up</t>
        </is>
      </c>
      <c r="C4" s="6" t="inlineStr">
        <is>
          <t>All four social buttons are on Sign up and on Sign in</t>
        </is>
      </c>
      <c r="D4" s="18" t="inlineStr">
        <is>
          <t>Positive</t>
        </is>
      </c>
      <c r="E4" s="19" t="inlineStr">
        <is>
          <t>High</t>
        </is>
      </c>
      <c r="F4" s="6" t="inlineStr">
        <is>
          <t>You are logged out.</t>
        </is>
      </c>
      <c r="G4" s="6" t="inlineStr">
        <is>
          <t>1. Open the Sign up page and look at the social buttons.
2. Open the Sign in page and look at the social buttons.</t>
        </is>
      </c>
      <c r="H4" s="6" t="inlineStr">
        <is>
          <t>-</t>
        </is>
      </c>
      <c r="I4" s="6" t="inlineStr">
        <is>
          <t>Both pages show the same four buttons: Facebook, Google, LinkedIn, GitHub.</t>
        </is>
      </c>
      <c r="J4" s="20" t="inlineStr"/>
      <c r="K4" s="21" t="inlineStr"/>
      <c r="L4" s="20" t="inlineStr"/>
      <c r="M4" s="21" t="inlineStr"/>
      <c r="N4" s="20" t="inlineStr"/>
    </row>
    <row r="5" ht="54" customHeight="1">
      <c r="A5" s="22" t="inlineStr">
        <is>
          <t>JS-02-02</t>
        </is>
      </c>
      <c r="B5" s="23" t="inlineStr">
        <is>
          <t>Social sign up</t>
        </is>
      </c>
      <c r="C5" s="23" t="inlineStr">
        <is>
          <t>Signing up with Google opens the completion step (not straight into the site)</t>
        </is>
      </c>
      <c r="D5" s="18" t="inlineStr">
        <is>
          <t>Positive</t>
        </is>
      </c>
      <c r="E5" s="19" t="inlineStr">
        <is>
          <t>High</t>
        </is>
      </c>
      <c r="F5" s="23" t="inlineStr">
        <is>
          <t>You are logged out. You have a Google account whose email has NEVER been used on the platform.</t>
        </is>
      </c>
      <c r="G5" s="23" t="inlineStr">
        <is>
          <t>1. Open the Sign up page.
2. Click 'Google'.
3. Log in at Google and allow access.
4. Look at the screen you land on.</t>
        </is>
      </c>
      <c r="H5" s="23" t="inlineStr">
        <is>
          <t>A Google account not yet registered</t>
        </is>
      </c>
      <c r="I5" s="23" t="inlineStr">
        <is>
          <t>You do NOT land on the homepage.
A 'completion step' screen opens asking for: Full name (already filled), Phone (empty), and the Terms tick box.
The email is shown but LOCKED, with the provider named next to it (for example a padlock and 'Google').</t>
        </is>
      </c>
      <c r="J5" s="20" t="inlineStr"/>
      <c r="K5" s="21" t="inlineStr"/>
      <c r="L5" s="20" t="inlineStr"/>
      <c r="M5" s="21" t="inlineStr"/>
      <c r="N5" s="20" t="inlineStr"/>
    </row>
    <row r="6" ht="28" customHeight="1">
      <c r="A6" s="17" t="inlineStr">
        <is>
          <t>JS-02-03</t>
        </is>
      </c>
      <c r="B6" s="6" t="inlineStr">
        <is>
          <t>Social sign up</t>
        </is>
      </c>
      <c r="C6" s="6" t="inlineStr">
        <is>
          <t>The email from the provider cannot be edited on the completion step</t>
        </is>
      </c>
      <c r="D6" s="25" t="inlineStr">
        <is>
          <t>Negative</t>
        </is>
      </c>
      <c r="E6" s="19" t="inlineStr">
        <is>
          <t>High</t>
        </is>
      </c>
      <c r="F6" s="6" t="inlineStr">
        <is>
          <t>You are on the social completion step (JS-03-02).</t>
        </is>
      </c>
      <c r="G6" s="6" t="inlineStr">
        <is>
          <t>1. Try to click into the email box and change it.</t>
        </is>
      </c>
      <c r="H6" s="6" t="inlineStr">
        <is>
          <t>-</t>
        </is>
      </c>
      <c r="I6" s="6" t="inlineStr">
        <is>
          <t>The email cannot be changed. It is read-only and the provider name is shown beside it.
This is because the email is the identity of the account.</t>
        </is>
      </c>
      <c r="J6" s="20" t="inlineStr"/>
      <c r="K6" s="21" t="inlineStr"/>
      <c r="L6" s="20" t="inlineStr"/>
      <c r="M6" s="21" t="inlineStr"/>
      <c r="N6" s="20" t="inlineStr"/>
    </row>
    <row r="7" ht="54" customHeight="1">
      <c r="A7" s="22" t="inlineStr">
        <is>
          <t>JS-02-04</t>
        </is>
      </c>
      <c r="B7" s="23" t="inlineStr">
        <is>
          <t>Social sign up</t>
        </is>
      </c>
      <c r="C7" s="23" t="inlineStr">
        <is>
          <t>Full name comes pre-filled from the provider but can still be edited</t>
        </is>
      </c>
      <c r="D7" s="18" t="inlineStr">
        <is>
          <t>Positive</t>
        </is>
      </c>
      <c r="E7" s="19" t="inlineStr">
        <is>
          <t>High</t>
        </is>
      </c>
      <c r="F7" s="23" t="inlineStr">
        <is>
          <t>You are on the social completion step.</t>
        </is>
      </c>
      <c r="G7" s="23" t="inlineStr">
        <is>
          <t>1. Look at the Full name box.
2. Change it to a different name.
3. Finish the sign-up.
4. Open My page and check the name.</t>
        </is>
      </c>
      <c r="H7" s="23" t="inlineStr">
        <is>
          <t>Change the name to: Nguyen Van Corrected</t>
        </is>
      </c>
      <c r="I7" s="23" t="inlineStr">
        <is>
          <t>The name box arrives pre-filled with the name Google gave.
You can edit it freely.
The name you typed is the one saved and shown afterwards.</t>
        </is>
      </c>
      <c r="J7" s="20" t="inlineStr"/>
      <c r="K7" s="21" t="inlineStr"/>
      <c r="L7" s="20" t="inlineStr"/>
      <c r="M7" s="21" t="inlineStr"/>
      <c r="N7" s="20" t="inlineStr"/>
    </row>
    <row r="8" ht="54" customHeight="1">
      <c r="A8" s="17" t="inlineStr">
        <is>
          <t>JS-02-05</t>
        </is>
      </c>
      <c r="B8" s="6" t="inlineStr">
        <is>
          <t>Social sign up</t>
        </is>
      </c>
      <c r="C8" s="6" t="inlineStr">
        <is>
          <t>Phone is empty and is required before the account can be finished</t>
        </is>
      </c>
      <c r="D8" s="25" t="inlineStr">
        <is>
          <t>Negative</t>
        </is>
      </c>
      <c r="E8" s="19" t="inlineStr">
        <is>
          <t>High</t>
        </is>
      </c>
      <c r="F8" s="6" t="inlineStr">
        <is>
          <t>You are on the social completion step.</t>
        </is>
      </c>
      <c r="G8" s="6" t="inlineStr">
        <is>
          <t>1. Look at the Phone box — it should be empty.
2. Leave it empty.
3. Tick the Terms box.
4. Click the confirm button.</t>
        </is>
      </c>
      <c r="H8" s="6" t="inlineStr">
        <is>
          <t>-</t>
        </is>
      </c>
      <c r="I8" s="6" t="inlineStr">
        <is>
          <t>The Phone box arrives EMPTY (no social provider ever gives us a phone number).
The account cannot be finished with an empty phone — an error appears asking for it.
An 'I live abroad' option is offered for people without a Vietnamese number.</t>
        </is>
      </c>
      <c r="J8" s="20" t="inlineStr"/>
      <c r="K8" s="21" t="inlineStr"/>
      <c r="L8" s="20" t="inlineStr"/>
      <c r="M8" s="21" t="inlineStr"/>
      <c r="N8" s="20" t="inlineStr"/>
    </row>
    <row r="9" ht="54" customHeight="1">
      <c r="A9" s="22" t="inlineStr">
        <is>
          <t>JS-02-06</t>
        </is>
      </c>
      <c r="B9" s="23" t="inlineStr">
        <is>
          <t>Social sign up</t>
        </is>
      </c>
      <c r="C9" s="23" t="inlineStr">
        <is>
          <t>Terms tick box is required; optional consents are OFF by default</t>
        </is>
      </c>
      <c r="D9" s="25" t="inlineStr">
        <is>
          <t>Negative</t>
        </is>
      </c>
      <c r="E9" s="19" t="inlineStr">
        <is>
          <t>High</t>
        </is>
      </c>
      <c r="F9" s="23" t="inlineStr">
        <is>
          <t>You are on the social completion step.</t>
        </is>
      </c>
      <c r="G9" s="23" t="inlineStr">
        <is>
          <t>1. Fill in the phone.
2. Look at the optional consent switches (location-based terms, marketing email, marketing SMS/Zalo).
3. Do NOT tick the membership Terms box.
4. Try to confirm.</t>
        </is>
      </c>
      <c r="H9" s="23" t="inlineStr">
        <is>
          <t>-</t>
        </is>
      </c>
      <c r="I9" s="23" t="inlineStr">
        <is>
          <t>The three optional consents are all OFF when the screen opens.
Only the membership Terms box blocks the confirm button.
Without it, the account cannot be created.</t>
        </is>
      </c>
      <c r="J9" s="20" t="inlineStr"/>
      <c r="K9" s="21" t="inlineStr"/>
      <c r="L9" s="20" t="inlineStr"/>
      <c r="M9" s="21" t="inlineStr"/>
      <c r="N9" s="20" t="inlineStr"/>
    </row>
    <row r="10" ht="28" customHeight="1">
      <c r="A10" s="17" t="inlineStr">
        <is>
          <t>JS-02-07</t>
        </is>
      </c>
      <c r="B10" s="6" t="inlineStr">
        <is>
          <t>Social sign up</t>
        </is>
      </c>
      <c r="C10" s="6" t="inlineStr">
        <is>
          <t>'Agree to all' shortcut turns on every consent at once</t>
        </is>
      </c>
      <c r="D10" s="18" t="inlineStr">
        <is>
          <t>Positive</t>
        </is>
      </c>
      <c r="E10" s="27" t="inlineStr">
        <is>
          <t>Low</t>
        </is>
      </c>
      <c r="F10" s="6" t="inlineStr">
        <is>
          <t>You are on the social completion step.</t>
        </is>
      </c>
      <c r="G10" s="6" t="inlineStr">
        <is>
          <t>1. Click the 'agree to all' shortcut.
2. Look at every tick box.</t>
        </is>
      </c>
      <c r="H10" s="6" t="inlineStr">
        <is>
          <t>-</t>
        </is>
      </c>
      <c r="I10" s="6" t="inlineStr">
        <is>
          <t>All the consent boxes, including the optional ones, become ticked.</t>
        </is>
      </c>
      <c r="J10" s="20" t="inlineStr"/>
      <c r="K10" s="21" t="inlineStr"/>
      <c r="L10" s="20" t="inlineStr"/>
      <c r="M10" s="21" t="inlineStr"/>
      <c r="N10" s="20" t="inlineStr"/>
    </row>
    <row r="11" ht="54" customHeight="1">
      <c r="A11" s="22" t="inlineStr">
        <is>
          <t>JS-02-08</t>
        </is>
      </c>
      <c r="B11" s="23" t="inlineStr">
        <is>
          <t>Social sign up</t>
        </is>
      </c>
      <c r="C11" s="23" t="inlineStr">
        <is>
          <t>Finishing the completion step makes the account Active with NO verification email</t>
        </is>
      </c>
      <c r="D11" s="18" t="inlineStr">
        <is>
          <t>Positive</t>
        </is>
      </c>
      <c r="E11" s="19" t="inlineStr">
        <is>
          <t>High</t>
        </is>
      </c>
      <c r="F11" s="23" t="inlineStr">
        <is>
          <t>You are on the social completion step with the phone filled and Terms ticked.</t>
        </is>
      </c>
      <c r="G11" s="23" t="inlineStr">
        <is>
          <t>1. Click the confirm button ('Đồng ý điều khoản của chúng tôi').
2. Watch where you land.
3. Open the email inbox of that Google account.</t>
        </is>
      </c>
      <c r="H11" s="23" t="inlineStr">
        <is>
          <t>-</t>
        </is>
      </c>
      <c r="I11" s="23" t="inlineStr">
        <is>
          <t>The account becomes Active straight away.
You go into the Onboarding wizard.
NO verification email is sent — the provider already verified the email.
You can apply to a job immediately (once you have a CV).</t>
        </is>
      </c>
      <c r="J11" s="20" t="inlineStr"/>
      <c r="K11" s="21" t="inlineStr"/>
      <c r="L11" s="20" t="inlineStr"/>
      <c r="M11" s="21" t="inlineStr"/>
      <c r="N11" s="20" t="inlineStr"/>
    </row>
    <row r="12" ht="40.5" customHeight="1">
      <c r="A12" s="17" t="inlineStr">
        <is>
          <t>JS-02-09</t>
        </is>
      </c>
      <c r="B12" s="6" t="inlineStr">
        <is>
          <t>Social sign up</t>
        </is>
      </c>
      <c r="C12" s="6" t="inlineStr">
        <is>
          <t>Leaving the completion step half-done does NOT create a usable account</t>
        </is>
      </c>
      <c r="D12" s="25" t="inlineStr">
        <is>
          <t>Negative</t>
        </is>
      </c>
      <c r="E12" s="19" t="inlineStr">
        <is>
          <t>High</t>
        </is>
      </c>
      <c r="F12" s="6" t="inlineStr">
        <is>
          <t>You reached the social completion step but have not confirmed yet.</t>
        </is>
      </c>
      <c r="G12" s="6" t="inlineStr">
        <is>
          <t>1. Close the browser tab without confirming.
2. Open the site again and sign in with the same Google account.
3. Try to apply to a job.</t>
        </is>
      </c>
      <c r="H12" s="6" t="inlineStr">
        <is>
          <t>-</t>
        </is>
      </c>
      <c r="I12" s="6" t="inlineStr">
        <is>
          <t>The account is NOT Active.
You are sent back to the completion step instead of into the site.
You cannot apply to a job until the step is finished.</t>
        </is>
      </c>
      <c r="J12" s="20" t="inlineStr"/>
      <c r="K12" s="21" t="inlineStr"/>
      <c r="L12" s="20" t="inlineStr"/>
      <c r="M12" s="21" t="inlineStr"/>
      <c r="N12" s="20" t="inlineStr"/>
    </row>
    <row r="13" ht="54" customHeight="1">
      <c r="A13" s="22" t="inlineStr">
        <is>
          <t>JS-02-10</t>
        </is>
      </c>
      <c r="B13" s="23" t="inlineStr">
        <is>
          <t>Social login</t>
        </is>
      </c>
      <c r="C13" s="23" t="inlineStr">
        <is>
          <t>Social login on an email that already has an account signs into THAT account</t>
        </is>
      </c>
      <c r="D13" s="26" t="inlineStr">
        <is>
          <t>Edge</t>
        </is>
      </c>
      <c r="E13" s="19" t="inlineStr">
        <is>
          <t>High</t>
        </is>
      </c>
      <c r="F13" s="23" t="inlineStr">
        <is>
          <t>An account already exists on name@gmail.com, created with email + password.</t>
        </is>
      </c>
      <c r="G13" s="23" t="inlineStr">
        <is>
          <t>1. Sign out.
2. Open the Sign in page.
3. Click 'Google' and log in with the SAME address name@gmail.com.
4. Open My page and look at your CVs and applications.</t>
        </is>
      </c>
      <c r="H13" s="23" t="inlineStr">
        <is>
          <t>The Google account matching an existing email account</t>
        </is>
      </c>
      <c r="I13" s="23" t="inlineStr">
        <is>
          <t>You are signed into the EXISTING account — the same CVs and the same applications are there.
A SECOND account is NOT created.
Google now appears as a linked login method on My page.</t>
        </is>
      </c>
      <c r="J13" s="20" t="inlineStr"/>
      <c r="K13" s="21" t="inlineStr"/>
      <c r="L13" s="20" t="inlineStr"/>
      <c r="M13" s="21" t="inlineStr"/>
      <c r="N13" s="20" t="inlineStr"/>
    </row>
    <row r="14" ht="40.5" customHeight="1">
      <c r="A14" s="17" t="inlineStr">
        <is>
          <t>JS-02-11</t>
        </is>
      </c>
      <c r="B14" s="6" t="inlineStr">
        <is>
          <t>Social login</t>
        </is>
      </c>
      <c r="C14" s="6" t="inlineStr">
        <is>
          <t>Cancelling at the provider brings you back without breaking anything</t>
        </is>
      </c>
      <c r="D14" s="25" t="inlineStr">
        <is>
          <t>Negative</t>
        </is>
      </c>
      <c r="E14" s="24" t="inlineStr">
        <is>
          <t>Medium</t>
        </is>
      </c>
      <c r="F14" s="6" t="inlineStr">
        <is>
          <t>You are logged out.</t>
        </is>
      </c>
      <c r="G14" s="6" t="inlineStr">
        <is>
          <t>1. Click 'Facebook' on the Sign in page.
2. At Facebook, press Cancel / Deny.</t>
        </is>
      </c>
      <c r="H14" s="6" t="inlineStr">
        <is>
          <t>-</t>
        </is>
      </c>
      <c r="I14" s="6" t="inlineStr">
        <is>
          <t>You come back to the Saramin sign-in page.
A short message explains the sign-in was cancelled.
No half-made account is created.</t>
        </is>
      </c>
      <c r="J14" s="20" t="inlineStr"/>
      <c r="K14" s="21" t="inlineStr"/>
      <c r="L14" s="20" t="inlineStr"/>
      <c r="M14" s="21" t="inlineStr"/>
      <c r="N14" s="20" t="inlineStr"/>
    </row>
    <row r="15" ht="28" customHeight="1">
      <c r="A15" s="22" t="inlineStr">
        <is>
          <t>JS-02-12</t>
        </is>
      </c>
      <c r="B15" s="23" t="inlineStr">
        <is>
          <t>Social login</t>
        </is>
      </c>
      <c r="C15" s="23" t="inlineStr">
        <is>
          <t>A provider that gives no email asks you for one</t>
        </is>
      </c>
      <c r="D15" s="26" t="inlineStr">
        <is>
          <t>Edge</t>
        </is>
      </c>
      <c r="E15" s="24" t="inlineStr">
        <is>
          <t>Medium</t>
        </is>
      </c>
      <c r="F15" s="23" t="inlineStr">
        <is>
          <t>You have a Facebook or GitHub account that does not release an email address.</t>
        </is>
      </c>
      <c r="G15" s="23" t="inlineStr">
        <is>
          <t>1. Click that provider on the Sign up page.
2. Complete the provider login.</t>
        </is>
      </c>
      <c r="H15" s="23" t="inlineStr">
        <is>
          <t>-</t>
        </is>
      </c>
      <c r="I15" s="23" t="inlineStr">
        <is>
          <t>Because we cannot identify the account without an email, the site asks you to type an email and verify it before the account is created.
No account is created on an unknown email.</t>
        </is>
      </c>
      <c r="J15" s="20" t="inlineStr"/>
      <c r="K15" s="21" t="inlineStr"/>
      <c r="L15" s="20" t="inlineStr"/>
      <c r="M15" s="21" t="inlineStr"/>
      <c r="N15" s="20" t="inlineStr"/>
    </row>
    <row r="16" ht="40.5" customHeight="1">
      <c r="A16" s="17" t="inlineStr">
        <is>
          <t>JS-02-13</t>
        </is>
      </c>
      <c r="B16" s="6" t="inlineStr">
        <is>
          <t>Social login</t>
        </is>
      </c>
      <c r="C16" s="6" t="inlineStr">
        <is>
          <t>A social-only account is offered 'Set a password', not 'Change password'</t>
        </is>
      </c>
      <c r="D16" s="18" t="inlineStr">
        <is>
          <t>Positive</t>
        </is>
      </c>
      <c r="E16" s="24" t="inlineStr">
        <is>
          <t>Medium</t>
        </is>
      </c>
      <c r="F16" s="6" t="inlineStr">
        <is>
          <t>You are signed in with an account created only through Google (no password ever set).</t>
        </is>
      </c>
      <c r="G16" s="6" t="inlineStr">
        <is>
          <t>1. Go to My page.
2. Open Account &amp; privacy.
3. Look at the password area.</t>
        </is>
      </c>
      <c r="H16" s="6" t="inlineStr">
        <is>
          <t>-</t>
        </is>
      </c>
      <c r="I16" s="6" t="inlineStr">
        <is>
          <t>It reads 'Set a password' (not 'Change password'), because there is no current password to ask for.</t>
        </is>
      </c>
      <c r="J16" s="20" t="inlineStr"/>
      <c r="K16" s="21" t="inlineStr"/>
      <c r="L16" s="20" t="inlineStr"/>
      <c r="M16" s="21" t="inlineStr"/>
      <c r="N16" s="20" t="inlineStr"/>
    </row>
    <row r="17" ht="54" customHeight="1">
      <c r="A17" s="22" t="inlineStr">
        <is>
          <t>JS-02-14</t>
        </is>
      </c>
      <c r="B17" s="23" t="inlineStr">
        <is>
          <t>Social login</t>
        </is>
      </c>
      <c r="C17" s="23" t="inlineStr">
        <is>
          <t>After setting a password, the social-only account can sign in with email + password</t>
        </is>
      </c>
      <c r="D17" s="18" t="inlineStr">
        <is>
          <t>Positive</t>
        </is>
      </c>
      <c r="E17" s="24" t="inlineStr">
        <is>
          <t>Medium</t>
        </is>
      </c>
      <c r="F17" s="23" t="inlineStr">
        <is>
          <t>You just set a password on a social-only account (JS-03-13).</t>
        </is>
      </c>
      <c r="G17" s="23" t="inlineStr">
        <is>
          <t>1. Sign out.
2. Open the Sign in page.
3. Type the account email and the new password.
4. Click Sign in.</t>
        </is>
      </c>
      <c r="H17" s="23" t="inlineStr">
        <is>
          <t>The password you just set</t>
        </is>
      </c>
      <c r="I17" s="23" t="inlineStr">
        <is>
          <t>You are signed into the same account.</t>
        </is>
      </c>
      <c r="J17" s="20" t="inlineStr"/>
      <c r="K17" s="21" t="inlineStr"/>
      <c r="L17" s="20" t="inlineStr"/>
      <c r="M17" s="21" t="inlineStr"/>
      <c r="N17" s="20" t="inlineStr"/>
    </row>
    <row r="18" ht="40.5" customHeight="1">
      <c r="A18" s="17" t="inlineStr">
        <is>
          <t>JS-02-15</t>
        </is>
      </c>
      <c r="B18" s="6" t="inlineStr">
        <is>
          <t>Social login</t>
        </is>
      </c>
      <c r="C18" s="6" t="inlineStr">
        <is>
          <t>Linked providers are listed on My page and can be unlinked</t>
        </is>
      </c>
      <c r="D18" s="18" t="inlineStr">
        <is>
          <t>Positive</t>
        </is>
      </c>
      <c r="E18" s="24" t="inlineStr">
        <is>
          <t>Medium</t>
        </is>
      </c>
      <c r="F18" s="6" t="inlineStr">
        <is>
          <t>You have an account with a password AND Google linked.</t>
        </is>
      </c>
      <c r="G18" s="6" t="inlineStr">
        <is>
          <t>1. Go to My page → Account &amp; privacy.
2. Find the linked logins list.
3. Click 'Unlink' on Google.</t>
        </is>
      </c>
      <c r="H18" s="6" t="inlineStr">
        <is>
          <t>-</t>
        </is>
      </c>
      <c r="I18" s="6" t="inlineStr">
        <is>
          <t>Google is listed as a linked login.
Unlinking works, because the password is still a way in.
Google disappears from the list.</t>
        </is>
      </c>
      <c r="J18" s="20" t="inlineStr"/>
      <c r="K18" s="21" t="inlineStr"/>
      <c r="L18" s="20" t="inlineStr"/>
      <c r="M18" s="21" t="inlineStr"/>
      <c r="N18" s="20" t="inlineStr"/>
    </row>
    <row r="19" ht="28" customHeight="1">
      <c r="A19" s="22" t="inlineStr">
        <is>
          <t>JS-02-16</t>
        </is>
      </c>
      <c r="B19" s="23" t="inlineStr">
        <is>
          <t>Social login</t>
        </is>
      </c>
      <c r="C19" s="23" t="inlineStr">
        <is>
          <t>Unlinking the LAST way to sign in is refused</t>
        </is>
      </c>
      <c r="D19" s="25" t="inlineStr">
        <is>
          <t>Negative</t>
        </is>
      </c>
      <c r="E19" s="19" t="inlineStr">
        <is>
          <t>High</t>
        </is>
      </c>
      <c r="F19" s="23" t="inlineStr">
        <is>
          <t>You have a social-only account (Google linked, no password set).</t>
        </is>
      </c>
      <c r="G19" s="23" t="inlineStr">
        <is>
          <t>1. Go to My page → Account &amp; privacy.
2. Click 'Unlink' on Google.</t>
        </is>
      </c>
      <c r="H19" s="23" t="inlineStr">
        <is>
          <t>-</t>
        </is>
      </c>
      <c r="I19" s="23" t="inlineStr">
        <is>
          <t>The unlink is REFUSED.
A message explains that you must keep at least one way to sign in, and suggests setting a password first.</t>
        </is>
      </c>
      <c r="J19" s="20" t="inlineStr"/>
      <c r="K19" s="21" t="inlineStr"/>
      <c r="L19" s="20" t="inlineStr"/>
      <c r="M19" s="21" t="inlineStr"/>
      <c r="N19" s="20" t="inlineStr"/>
    </row>
    <row r="20" ht="40.5" customHeight="1">
      <c r="A20" s="17" t="inlineStr">
        <is>
          <t>JS-02-17</t>
        </is>
      </c>
      <c r="B20" s="6" t="inlineStr">
        <is>
          <t>Social sign up</t>
        </is>
      </c>
      <c r="C20" s="6" t="inlineStr">
        <is>
          <t>Repeat the sign-up test on the other three providers</t>
        </is>
      </c>
      <c r="D20" s="18" t="inlineStr">
        <is>
          <t>Positive</t>
        </is>
      </c>
      <c r="E20" s="24" t="inlineStr">
        <is>
          <t>Medium</t>
        </is>
      </c>
      <c r="F20" s="6" t="inlineStr">
        <is>
          <t>You have unused Facebook, LinkedIn and GitHub accounts.</t>
        </is>
      </c>
      <c r="G20" s="6" t="inlineStr">
        <is>
          <t>1. Repeat JS-03-02 to JS-03-08 using Facebook.
2. Repeat them using LinkedIn.
3. Repeat them using GitHub.</t>
        </is>
      </c>
      <c r="H20" s="6" t="inlineStr">
        <is>
          <t>One unused account per provider</t>
        </is>
      </c>
      <c r="I20" s="6" t="inlineStr">
        <is>
          <t>Every provider behaves the same way: verified email, locked email box, editable name, required phone, required Terms, Active with no verification email.
Write in Notes which providers are actually switched on in this release.</t>
        </is>
      </c>
      <c r="J20" s="20" t="inlineStr"/>
      <c r="K20" s="21" t="inlineStr"/>
      <c r="L20" s="20" t="inlineStr"/>
      <c r="M20" s="21" t="inlineStr"/>
      <c r="N20" s="20" t="inlineStr"/>
    </row>
  </sheetData>
  <autoFilter ref="A3:N20"/>
  <mergeCells count="2">
    <mergeCell ref="A2:N2"/>
    <mergeCell ref="A1:N1"/>
  </mergeCells>
  <dataValidations count="1">
    <dataValidation sqref="K4:K20"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JS-03 · Sign in, password reset and account status</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JS-03-01</t>
        </is>
      </c>
      <c r="B4" s="6" t="inlineStr">
        <is>
          <t>Sign in</t>
        </is>
      </c>
      <c r="C4" s="6" t="inlineStr">
        <is>
          <t>Sign in with the correct email and password</t>
        </is>
      </c>
      <c r="D4" s="18" t="inlineStr">
        <is>
          <t>Positive</t>
        </is>
      </c>
      <c r="E4" s="19" t="inlineStr">
        <is>
          <t>High</t>
        </is>
      </c>
      <c r="F4" s="6" t="inlineStr">
        <is>
          <t>An Active account exists and you know its password.</t>
        </is>
      </c>
      <c r="G4" s="6" t="inlineStr">
        <is>
          <t>1. Open the Sign in page.
2. Type the email and password.
3. Click Sign in.</t>
        </is>
      </c>
      <c r="H4" s="6" t="inlineStr">
        <is>
          <t>A verified Active account</t>
        </is>
      </c>
      <c r="I4" s="6" t="inlineStr">
        <is>
          <t>You are signed in and your name / avatar appears in the header.</t>
        </is>
      </c>
      <c r="J4" s="20" t="inlineStr"/>
      <c r="K4" s="21" t="inlineStr"/>
      <c r="L4" s="20" t="inlineStr"/>
      <c r="M4" s="21" t="inlineStr"/>
      <c r="N4" s="20" t="inlineStr"/>
    </row>
    <row r="5" ht="54" customHeight="1">
      <c r="A5" s="22" t="inlineStr">
        <is>
          <t>JS-03-02</t>
        </is>
      </c>
      <c r="B5" s="23" t="inlineStr">
        <is>
          <t>Sign in</t>
        </is>
      </c>
      <c r="C5" s="23" t="inlineStr">
        <is>
          <t>Wrong password shows a general message that does not reveal anything</t>
        </is>
      </c>
      <c r="D5" s="25" t="inlineStr">
        <is>
          <t>Negative</t>
        </is>
      </c>
      <c r="E5" s="19" t="inlineStr">
        <is>
          <t>High</t>
        </is>
      </c>
      <c r="F5" s="23" t="inlineStr">
        <is>
          <t>An Active account exists.</t>
        </is>
      </c>
      <c r="G5" s="23" t="inlineStr">
        <is>
          <t>1. Open the Sign in page.
2. Type the correct email and a WRONG password.
3. Click Sign in.
4. Write down the exact message.</t>
        </is>
      </c>
      <c r="H5" s="23" t="inlineStr">
        <is>
          <t>Password: WrongPass99</t>
        </is>
      </c>
      <c r="I5" s="23" t="inlineStr">
        <is>
          <t>You are not signed in.
The message is general, for example 'email or password is incorrect'.
It must NOT say the password is wrong or that the email exists.</t>
        </is>
      </c>
      <c r="J5" s="20" t="inlineStr"/>
      <c r="K5" s="21" t="inlineStr"/>
      <c r="L5" s="20" t="inlineStr"/>
      <c r="M5" s="21" t="inlineStr"/>
      <c r="N5" s="20" t="inlineStr"/>
    </row>
    <row r="6" ht="54" customHeight="1">
      <c r="A6" s="17" t="inlineStr">
        <is>
          <t>JS-03-03</t>
        </is>
      </c>
      <c r="B6" s="6" t="inlineStr">
        <is>
          <t>Sign in</t>
        </is>
      </c>
      <c r="C6" s="6" t="inlineStr">
        <is>
          <t>Unknown email shows exactly the SAME message as a wrong password</t>
        </is>
      </c>
      <c r="D6" s="25" t="inlineStr">
        <is>
          <t>Negative</t>
        </is>
      </c>
      <c r="E6" s="19" t="inlineStr">
        <is>
          <t>High</t>
        </is>
      </c>
      <c r="F6" s="6" t="inlineStr">
        <is>
          <t>You know an email address that has no account.</t>
        </is>
      </c>
      <c r="G6" s="6" t="inlineStr">
        <is>
          <t>1. Open the Sign in page.
2. Type an email that is not registered and any password.
3. Click Sign in.
4. Compare the message with the one you wrote down in JS-04-02.</t>
        </is>
      </c>
      <c r="H6" s="6" t="inlineStr">
        <is>
          <t>Email: nobody-here-9911@mail.com</t>
        </is>
      </c>
      <c r="I6" s="6" t="inlineStr">
        <is>
          <t>The message is WORD-FOR-WORD the same as in JS-04-02.
If the two messages are different, someone could use the form to find out which emails are registered — mark this Fail.</t>
        </is>
      </c>
      <c r="J6" s="20" t="inlineStr"/>
      <c r="K6" s="21" t="inlineStr"/>
      <c r="L6" s="20" t="inlineStr"/>
      <c r="M6" s="21" t="inlineStr"/>
      <c r="N6" s="20" t="inlineStr"/>
    </row>
    <row r="7" ht="28" customHeight="1">
      <c r="A7" s="22" t="inlineStr">
        <is>
          <t>JS-03-04</t>
        </is>
      </c>
      <c r="B7" s="23" t="inlineStr">
        <is>
          <t>Sign in</t>
        </is>
      </c>
      <c r="C7" s="23" t="inlineStr">
        <is>
          <t>'Remember me' is off by default</t>
        </is>
      </c>
      <c r="D7" s="18" t="inlineStr">
        <is>
          <t>Positive</t>
        </is>
      </c>
      <c r="E7" s="27" t="inlineStr">
        <is>
          <t>Low</t>
        </is>
      </c>
      <c r="F7" s="23" t="inlineStr">
        <is>
          <t>You are logged out.</t>
        </is>
      </c>
      <c r="G7" s="23" t="inlineStr">
        <is>
          <t>1. Open the Sign in page.
2. Look at the 'Remember me' tick box before touching anything.</t>
        </is>
      </c>
      <c r="H7" s="23" t="inlineStr">
        <is>
          <t>-</t>
        </is>
      </c>
      <c r="I7" s="23" t="inlineStr">
        <is>
          <t>'Remember me' is NOT ticked when the page opens.</t>
        </is>
      </c>
      <c r="J7" s="20" t="inlineStr"/>
      <c r="K7" s="21" t="inlineStr"/>
      <c r="L7" s="20" t="inlineStr"/>
      <c r="M7" s="21" t="inlineStr"/>
      <c r="N7" s="20" t="inlineStr"/>
    </row>
    <row r="8" ht="40.5" customHeight="1">
      <c r="A8" s="17" t="inlineStr">
        <is>
          <t>JS-03-05</t>
        </is>
      </c>
      <c r="B8" s="6" t="inlineStr">
        <is>
          <t>Sign in</t>
        </is>
      </c>
      <c r="C8" s="6" t="inlineStr">
        <is>
          <t>Too many wrong attempts locks sign-in for a while</t>
        </is>
      </c>
      <c r="D8" s="26" t="inlineStr">
        <is>
          <t>Edge</t>
        </is>
      </c>
      <c r="E8" s="19" t="inlineStr">
        <is>
          <t>High</t>
        </is>
      </c>
      <c r="F8" s="6" t="inlineStr">
        <is>
          <t>An Active account exists. Ask the team how many attempts are allowed before lockout.</t>
        </is>
      </c>
      <c r="G8" s="6" t="inlineStr">
        <is>
          <t>1. Try to sign in with the wrong password, over and over (for example 10 times).
2. Then try the CORRECT password.</t>
        </is>
      </c>
      <c r="H8" s="6" t="inlineStr">
        <is>
          <t>-</t>
        </is>
      </c>
      <c r="I8" s="6" t="inlineStr">
        <is>
          <t>After the agreed number of failures, sign-in is blocked for a while with a clear message.
Even the correct password is refused during the lockout window.
After the window passes, the correct password works — the account is not blocked for ever.</t>
        </is>
      </c>
      <c r="J8" s="20" t="inlineStr"/>
      <c r="K8" s="21" t="inlineStr"/>
      <c r="L8" s="20" t="inlineStr"/>
      <c r="M8" s="21" t="inlineStr"/>
      <c r="N8" s="20" t="inlineStr"/>
    </row>
    <row r="9" ht="40.5" customHeight="1">
      <c r="A9" s="22" t="inlineStr">
        <is>
          <t>JS-03-06</t>
        </is>
      </c>
      <c r="B9" s="23" t="inlineStr">
        <is>
          <t>Password reset</t>
        </is>
      </c>
      <c r="C9" s="23" t="inlineStr">
        <is>
          <t>Forgot password always gives the same answer, for any email</t>
        </is>
      </c>
      <c r="D9" s="25" t="inlineStr">
        <is>
          <t>Negative</t>
        </is>
      </c>
      <c r="E9" s="19" t="inlineStr">
        <is>
          <t>High</t>
        </is>
      </c>
      <c r="F9" s="23" t="inlineStr">
        <is>
          <t>You are on the Sign in page.</t>
        </is>
      </c>
      <c r="G9" s="23" t="inlineStr">
        <is>
          <t>1. Click 'Forgot password'.
2. Type a REGISTERED email and submit. Write down the message.
3. Repeat with an email that is NOT registered. Write down the message.</t>
        </is>
      </c>
      <c r="H9" s="23" t="inlineStr">
        <is>
          <t>One registered email, one unknown email</t>
        </is>
      </c>
      <c r="I9" s="23" t="inlineStr">
        <is>
          <t>Both times the message is the same, for example 'if that email exists we have sent a link'.
Different messages would let someone discover which emails are registered — that is a Fail.</t>
        </is>
      </c>
      <c r="J9" s="20" t="inlineStr"/>
      <c r="K9" s="21" t="inlineStr"/>
      <c r="L9" s="20" t="inlineStr"/>
      <c r="M9" s="21" t="inlineStr"/>
      <c r="N9" s="20" t="inlineStr"/>
    </row>
    <row r="10" ht="67.5" customHeight="1">
      <c r="A10" s="17" t="inlineStr">
        <is>
          <t>JS-03-07</t>
        </is>
      </c>
      <c r="B10" s="6" t="inlineStr">
        <is>
          <t>Password reset</t>
        </is>
      </c>
      <c r="C10" s="6" t="inlineStr">
        <is>
          <t>The reset link works and lets you set a new password</t>
        </is>
      </c>
      <c r="D10" s="18" t="inlineStr">
        <is>
          <t>Positive</t>
        </is>
      </c>
      <c r="E10" s="19" t="inlineStr">
        <is>
          <t>High</t>
        </is>
      </c>
      <c r="F10" s="6" t="inlineStr">
        <is>
          <t>You asked for a reset on an email you can open.</t>
        </is>
      </c>
      <c r="G10" s="6" t="inlineStr">
        <is>
          <t>1. Open the reset email.
2. Click the link.
3. Type a new password twice.
4. Save.
5. Sign in with the new password.</t>
        </is>
      </c>
      <c r="H10" s="6" t="inlineStr">
        <is>
          <t>New password: NewPass123</t>
        </is>
      </c>
      <c r="I10" s="6" t="inlineStr">
        <is>
          <t>The password is changed and you can sign in with the new one.
The old password no longer works.</t>
        </is>
      </c>
      <c r="J10" s="20" t="inlineStr"/>
      <c r="K10" s="21" t="inlineStr"/>
      <c r="L10" s="20" t="inlineStr"/>
      <c r="M10" s="21" t="inlineStr"/>
      <c r="N10" s="20" t="inlineStr"/>
    </row>
    <row r="11" ht="28" customHeight="1">
      <c r="A11" s="22" t="inlineStr">
        <is>
          <t>JS-03-08</t>
        </is>
      </c>
      <c r="B11" s="23" t="inlineStr">
        <is>
          <t>Password reset</t>
        </is>
      </c>
      <c r="C11" s="23" t="inlineStr">
        <is>
          <t>Finishing a reset signs you out of every other device</t>
        </is>
      </c>
      <c r="D11" s="26" t="inlineStr">
        <is>
          <t>Edge</t>
        </is>
      </c>
      <c r="E11" s="19" t="inlineStr">
        <is>
          <t>High</t>
        </is>
      </c>
      <c r="F11" s="23" t="inlineStr">
        <is>
          <t>The same account is signed in on two browsers (for example Chrome and Firefox).</t>
        </is>
      </c>
      <c r="G11" s="23" t="inlineStr">
        <is>
          <t>1. In browser A, complete a password reset (JS-04-07).
2. Go to browser B and refresh any page or click any menu.</t>
        </is>
      </c>
      <c r="H11" s="23" t="inlineStr">
        <is>
          <t>-</t>
        </is>
      </c>
      <c r="I11" s="23" t="inlineStr">
        <is>
          <t>Browser B is signed out and asks you to sign in again.
This is on purpose: after a reset we assume the old password is not safe.</t>
        </is>
      </c>
      <c r="J11" s="20" t="inlineStr"/>
      <c r="K11" s="21" t="inlineStr"/>
      <c r="L11" s="20" t="inlineStr"/>
      <c r="M11" s="21" t="inlineStr"/>
      <c r="N11" s="20" t="inlineStr"/>
    </row>
    <row r="12" ht="28" customHeight="1">
      <c r="A12" s="17" t="inlineStr">
        <is>
          <t>JS-03-09</t>
        </is>
      </c>
      <c r="B12" s="6" t="inlineStr">
        <is>
          <t>Password reset</t>
        </is>
      </c>
      <c r="C12" s="6" t="inlineStr">
        <is>
          <t>The reset link expires after 1 hour and cannot be used twice</t>
        </is>
      </c>
      <c r="D12" s="26" t="inlineStr">
        <is>
          <t>Edge</t>
        </is>
      </c>
      <c r="E12" s="24" t="inlineStr">
        <is>
          <t>Medium</t>
        </is>
      </c>
      <c r="F12" s="6" t="inlineStr">
        <is>
          <t>You have a reset link older than 1 hour, and a second link you already used.</t>
        </is>
      </c>
      <c r="G12" s="6" t="inlineStr">
        <is>
          <t>1. Click the expired link.
2. Click the already-used link.</t>
        </is>
      </c>
      <c r="H12" s="6" t="inlineStr">
        <is>
          <t>-</t>
        </is>
      </c>
      <c r="I12" s="6" t="inlineStr">
        <is>
          <t>Both are refused with a clear message and a button to request a new link.
Neither one lets you set a password.</t>
        </is>
      </c>
      <c r="J12" s="20" t="inlineStr"/>
      <c r="K12" s="21" t="inlineStr"/>
      <c r="L12" s="20" t="inlineStr"/>
      <c r="M12" s="21" t="inlineStr"/>
      <c r="N12" s="20" t="inlineStr"/>
    </row>
    <row r="13" ht="40.5" customHeight="1">
      <c r="A13" s="22" t="inlineStr">
        <is>
          <t>JS-03-10</t>
        </is>
      </c>
      <c r="B13" s="23" t="inlineStr">
        <is>
          <t>Account status</t>
        </is>
      </c>
      <c r="C13" s="23" t="inlineStr">
        <is>
          <t>A Suspended account cannot sign in and is never told the internal reason</t>
        </is>
      </c>
      <c r="D13" s="25" t="inlineStr">
        <is>
          <t>Negative</t>
        </is>
      </c>
      <c r="E13" s="19" t="inlineStr">
        <is>
          <t>High</t>
        </is>
      </c>
      <c r="F13" s="23" t="inlineStr">
        <is>
          <t>Ask an Admin user to Suspend your test account (they must type a reason).</t>
        </is>
      </c>
      <c r="G13" s="23" t="inlineStr">
        <is>
          <t>1. Try to sign in with that account.
2. Read the message carefully.</t>
        </is>
      </c>
      <c r="H13" s="23" t="inlineStr">
        <is>
          <t>-</t>
        </is>
      </c>
      <c r="I13" s="23" t="inlineStr">
        <is>
          <t>Sign-in is refused.
The message gives a support contact.
The reason the Admin typed is NOT shown anywhere to you — that text is internal only.</t>
        </is>
      </c>
      <c r="J13" s="20" t="inlineStr"/>
      <c r="K13" s="21" t="inlineStr"/>
      <c r="L13" s="20" t="inlineStr"/>
      <c r="M13" s="21" t="inlineStr"/>
      <c r="N13" s="20" t="inlineStr"/>
    </row>
    <row r="14" ht="40.5" customHeight="1">
      <c r="A14" s="17" t="inlineStr">
        <is>
          <t>JS-03-11</t>
        </is>
      </c>
      <c r="B14" s="6" t="inlineStr">
        <is>
          <t>Account status</t>
        </is>
      </c>
      <c r="C14" s="6" t="inlineStr">
        <is>
          <t>Signing in to a Deactivated account inside the grace window offers to reactivate</t>
        </is>
      </c>
      <c r="D14" s="26" t="inlineStr">
        <is>
          <t>Edge</t>
        </is>
      </c>
      <c r="E14" s="19" t="inlineStr">
        <is>
          <t>High</t>
        </is>
      </c>
      <c r="F14" s="6" t="inlineStr">
        <is>
          <t>You deactivated a test account today (see the Deactivate sheet).</t>
        </is>
      </c>
      <c r="G14" s="6" t="inlineStr">
        <is>
          <t>1. Try to sign in with that account.</t>
        </is>
      </c>
      <c r="H14" s="6" t="inlineStr">
        <is>
          <t>-</t>
        </is>
      </c>
      <c r="I14" s="6" t="inlineStr">
        <is>
          <t>You are NOT shown a plain error.
You are offered 'reactivate your account'.
Accepting brings the account back.</t>
        </is>
      </c>
      <c r="J14" s="20" t="inlineStr"/>
      <c r="K14" s="21" t="inlineStr"/>
      <c r="L14" s="20" t="inlineStr"/>
      <c r="M14" s="21" t="inlineStr"/>
      <c r="N14" s="20" t="inlineStr"/>
    </row>
    <row r="15" ht="40.5" customHeight="1">
      <c r="A15" s="22" t="inlineStr">
        <is>
          <t>JS-03-12</t>
        </is>
      </c>
      <c r="B15" s="23" t="inlineStr">
        <is>
          <t>Sign in</t>
        </is>
      </c>
      <c r="C15" s="23" t="inlineStr">
        <is>
          <t>After signing in you go back to the page you were trying to reach</t>
        </is>
      </c>
      <c r="D15" s="18" t="inlineStr">
        <is>
          <t>Positive</t>
        </is>
      </c>
      <c r="E15" s="24" t="inlineStr">
        <is>
          <t>Medium</t>
        </is>
      </c>
      <c r="F15" s="23" t="inlineStr">
        <is>
          <t>You are logged out.</t>
        </is>
      </c>
      <c r="G15" s="23" t="inlineStr">
        <is>
          <t>1. Open a job detail page directly.
2. Click 'Apply now'.
3. Sign in on the page that opens.</t>
        </is>
      </c>
      <c r="H15" s="23" t="inlineStr">
        <is>
          <t>-</t>
        </is>
      </c>
      <c r="I15" s="23" t="inlineStr">
        <is>
          <t>After sign-in you are returned to the SAME job and the apply flow continues.
You do not land on the homepage having lost the job.</t>
        </is>
      </c>
      <c r="J15" s="20" t="inlineStr"/>
      <c r="K15" s="21" t="inlineStr"/>
      <c r="L15" s="20" t="inlineStr"/>
      <c r="M15" s="21" t="inlineStr"/>
      <c r="N15" s="20" t="inlineStr"/>
    </row>
    <row r="16" ht="40.5" customHeight="1">
      <c r="A16" s="17" t="inlineStr">
        <is>
          <t>JS-03-13</t>
        </is>
      </c>
      <c r="B16" s="6" t="inlineStr">
        <is>
          <t>Sign out</t>
        </is>
      </c>
      <c r="C16" s="6" t="inlineStr">
        <is>
          <t>Sign out ends the session</t>
        </is>
      </c>
      <c r="D16" s="18" t="inlineStr">
        <is>
          <t>Positive</t>
        </is>
      </c>
      <c r="E16" s="24" t="inlineStr">
        <is>
          <t>Medium</t>
        </is>
      </c>
      <c r="F16" s="6" t="inlineStr">
        <is>
          <t>You are signed in.</t>
        </is>
      </c>
      <c r="G16" s="6" t="inlineStr">
        <is>
          <t>1. Click Sign out.
2. Press the browser Back button.
3. Try to open My page.</t>
        </is>
      </c>
      <c r="H16" s="6" t="inlineStr">
        <is>
          <t>-</t>
        </is>
      </c>
      <c r="I16" s="6" t="inlineStr">
        <is>
          <t>You are signed out.
Going Back does not give you access again — My page asks you to sign in.</t>
        </is>
      </c>
      <c r="J16" s="20" t="inlineStr"/>
      <c r="K16" s="21" t="inlineStr"/>
      <c r="L16" s="20" t="inlineStr"/>
      <c r="M16" s="21" t="inlineStr"/>
      <c r="N16" s="20" t="inlineStr"/>
    </row>
  </sheetData>
  <autoFilter ref="A3:N16"/>
  <mergeCells count="2">
    <mergeCell ref="A2:N2"/>
    <mergeCell ref="A1:N1"/>
  </mergeCells>
  <dataValidations count="1">
    <dataValidation sqref="K4:K16"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9"/>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JS-04 · Onboarding wizard (the 4 steps + matched jobs)</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28" customHeight="1">
      <c r="A4" s="17" t="inlineStr">
        <is>
          <t>JS-04-01</t>
        </is>
      </c>
      <c r="B4" s="6" t="inlineStr">
        <is>
          <t>Onboarding</t>
        </is>
      </c>
      <c r="C4" s="6" t="inlineStr">
        <is>
          <t>The wizard opens by itself right after an email sign-up</t>
        </is>
      </c>
      <c r="D4" s="18" t="inlineStr">
        <is>
          <t>Positive</t>
        </is>
      </c>
      <c r="E4" s="19" t="inlineStr">
        <is>
          <t>High</t>
        </is>
      </c>
      <c r="F4" s="6" t="inlineStr">
        <is>
          <t>You just created an account with email + password.</t>
        </is>
      </c>
      <c r="G4" s="6" t="inlineStr">
        <is>
          <t>1. Finish the sign-up.
2. Look at the screen you land on.</t>
        </is>
      </c>
      <c r="H4" s="6" t="inlineStr">
        <is>
          <t>-</t>
        </is>
      </c>
      <c r="I4" s="6" t="inlineStr">
        <is>
          <t>The onboarding wizard opens automatically at step 1 of 4.
You did not have to look for it in a menu.</t>
        </is>
      </c>
      <c r="J4" s="20" t="inlineStr"/>
      <c r="K4" s="21" t="inlineStr"/>
      <c r="L4" s="20" t="inlineStr"/>
      <c r="M4" s="21" t="inlineStr"/>
      <c r="N4" s="20" t="inlineStr"/>
    </row>
    <row r="5" ht="28" customHeight="1">
      <c r="A5" s="22" t="inlineStr">
        <is>
          <t>JS-04-02</t>
        </is>
      </c>
      <c r="B5" s="23" t="inlineStr">
        <is>
          <t>Onboarding</t>
        </is>
      </c>
      <c r="C5" s="23" t="inlineStr">
        <is>
          <t>The wizard also opens after a social sign-up</t>
        </is>
      </c>
      <c r="D5" s="18" t="inlineStr">
        <is>
          <t>Positive</t>
        </is>
      </c>
      <c r="E5" s="19" t="inlineStr">
        <is>
          <t>High</t>
        </is>
      </c>
      <c r="F5" s="23" t="inlineStr">
        <is>
          <t>You just finished the social completion step.</t>
        </is>
      </c>
      <c r="G5" s="23" t="inlineStr">
        <is>
          <t>1. Finish the completion step.
2. Look at the screen you land on.</t>
        </is>
      </c>
      <c r="H5" s="23" t="inlineStr">
        <is>
          <t>-</t>
        </is>
      </c>
      <c r="I5" s="23" t="inlineStr">
        <is>
          <t>The same onboarding wizard opens at step 1 of 4.</t>
        </is>
      </c>
      <c r="J5" s="20" t="inlineStr"/>
      <c r="K5" s="21" t="inlineStr"/>
      <c r="L5" s="20" t="inlineStr"/>
      <c r="M5" s="21" t="inlineStr"/>
      <c r="N5" s="20" t="inlineStr"/>
    </row>
    <row r="6" ht="54" customHeight="1">
      <c r="A6" s="17" t="inlineStr">
        <is>
          <t>JS-04-03</t>
        </is>
      </c>
      <c r="B6" s="6" t="inlineStr">
        <is>
          <t>Onboarding</t>
        </is>
      </c>
      <c r="C6" s="6" t="inlineStr">
        <is>
          <t>Step 1 asks what work you want: category, then role, then industry</t>
        </is>
      </c>
      <c r="D6" s="18" t="inlineStr">
        <is>
          <t>Positive</t>
        </is>
      </c>
      <c r="E6" s="19" t="inlineStr">
        <is>
          <t>High</t>
        </is>
      </c>
      <c r="F6" s="6" t="inlineStr">
        <is>
          <t>You are on step 1 of the wizard.</t>
        </is>
      </c>
      <c r="G6" s="6" t="inlineStr">
        <is>
          <t>1. Open the 'Desired job category' list and pick one.
2. Open the 'Desired job role' box and look at the suggestions.
3. Pick a role.
4. Open 'Desired industry' and pick some.</t>
        </is>
      </c>
      <c r="H6" s="6" t="inlineStr">
        <is>
          <t>Category: IT / Software
Role: Software Developer
Industry: Banking, FMCG</t>
        </is>
      </c>
      <c r="I6" s="6" t="inlineStr">
        <is>
          <t>All three fields are on the SAME screen (not one field per screen).
The role suggestions are narrowed by the category you picked first.
Industry allows more than one choice.</t>
        </is>
      </c>
      <c r="J6" s="20" t="inlineStr"/>
      <c r="K6" s="21" t="inlineStr"/>
      <c r="L6" s="20" t="inlineStr"/>
      <c r="M6" s="21" t="inlineStr"/>
      <c r="N6" s="20" t="inlineStr"/>
    </row>
    <row r="7" ht="28" customHeight="1">
      <c r="A7" s="22" t="inlineStr">
        <is>
          <t>JS-04-04</t>
        </is>
      </c>
      <c r="B7" s="23" t="inlineStr">
        <is>
          <t>Onboarding</t>
        </is>
      </c>
      <c r="C7" s="23" t="inlineStr">
        <is>
          <t>Desired industry accepts at most 3 choices</t>
        </is>
      </c>
      <c r="D7" s="25" t="inlineStr">
        <is>
          <t>Negative</t>
        </is>
      </c>
      <c r="E7" s="24" t="inlineStr">
        <is>
          <t>Medium</t>
        </is>
      </c>
      <c r="F7" s="23" t="inlineStr">
        <is>
          <t>You are on step 1.</t>
        </is>
      </c>
      <c r="G7" s="23" t="inlineStr">
        <is>
          <t>1. Pick 3 industries.
2. Try to pick a 4th one.</t>
        </is>
      </c>
      <c r="H7" s="23" t="inlineStr">
        <is>
          <t>-</t>
        </is>
      </c>
      <c r="I7" s="23" t="inlineStr">
        <is>
          <t>The 4th choice is not allowed.
The screen makes clear the limit is 3 (for example the remaining options become unclickable).</t>
        </is>
      </c>
      <c r="J7" s="20" t="inlineStr"/>
      <c r="K7" s="21" t="inlineStr"/>
      <c r="L7" s="20" t="inlineStr"/>
      <c r="M7" s="21" t="inlineStr"/>
      <c r="N7" s="20" t="inlineStr"/>
    </row>
    <row r="8" ht="40.5" customHeight="1">
      <c r="A8" s="17" t="inlineStr">
        <is>
          <t>JS-04-05</t>
        </is>
      </c>
      <c r="B8" s="6" t="inlineStr">
        <is>
          <t>Onboarding</t>
        </is>
      </c>
      <c r="C8" s="6" t="inlineStr">
        <is>
          <t>Step 2 accepts at most 3 work locations, at province / city level</t>
        </is>
      </c>
      <c r="D8" s="18" t="inlineStr">
        <is>
          <t>Positive</t>
        </is>
      </c>
      <c r="E8" s="19" t="inlineStr">
        <is>
          <t>High</t>
        </is>
      </c>
      <c r="F8" s="6" t="inlineStr">
        <is>
          <t>You are on step 2.</t>
        </is>
      </c>
      <c r="G8" s="6" t="inlineStr">
        <is>
          <t>1. Open the location list.
2. Pick 3 locations.
3. Try to pick a 4th.</t>
        </is>
      </c>
      <c r="H8" s="6" t="inlineStr">
        <is>
          <t>Ho Chi Minh, Ha Noi, Da Nang, then try Binh Duong</t>
        </is>
      </c>
      <c r="I8" s="6" t="inlineStr">
        <is>
          <t>The list is provinces / cities (not districts or streets).
Three can be picked.
The 4th is refused.</t>
        </is>
      </c>
      <c r="J8" s="20" t="inlineStr"/>
      <c r="K8" s="21" t="inlineStr"/>
      <c r="L8" s="20" t="inlineStr"/>
      <c r="M8" s="21" t="inlineStr"/>
      <c r="N8" s="20" t="inlineStr"/>
    </row>
    <row r="9" ht="28" customHeight="1">
      <c r="A9" s="22" t="inlineStr">
        <is>
          <t>JS-04-06</t>
        </is>
      </c>
      <c r="B9" s="23" t="inlineStr">
        <is>
          <t>Onboarding</t>
        </is>
      </c>
      <c r="C9" s="23" t="inlineStr">
        <is>
          <t>Step 3 asks only for total years of experience and highest education</t>
        </is>
      </c>
      <c r="D9" s="18" t="inlineStr">
        <is>
          <t>Positive</t>
        </is>
      </c>
      <c r="E9" s="19" t="inlineStr">
        <is>
          <t>High</t>
        </is>
      </c>
      <c r="F9" s="23" t="inlineStr">
        <is>
          <t>You are on step 3.</t>
        </is>
      </c>
      <c r="G9" s="23" t="inlineStr">
        <is>
          <t>1. Look at every field on this step.
2. Fill them in.</t>
        </is>
      </c>
      <c r="H9" s="23" t="inlineStr">
        <is>
          <t>Years: 5
Highest education: Bachelor</t>
        </is>
      </c>
      <c r="I9" s="23" t="inlineStr">
        <is>
          <t>Only two things are asked: total years of work experience, and highest education level.
It does NOT ask for company names, job titles, school names or majors — those belong on the CV.</t>
        </is>
      </c>
      <c r="J9" s="20" t="inlineStr"/>
      <c r="K9" s="21" t="inlineStr"/>
      <c r="L9" s="20" t="inlineStr"/>
      <c r="M9" s="21" t="inlineStr"/>
      <c r="N9" s="20" t="inlineStr"/>
    </row>
    <row r="10" ht="28" customHeight="1">
      <c r="A10" s="17" t="inlineStr">
        <is>
          <t>JS-04-07</t>
        </is>
      </c>
      <c r="B10" s="6" t="inlineStr">
        <is>
          <t>Onboarding</t>
        </is>
      </c>
      <c r="C10" s="6" t="inlineStr">
        <is>
          <t>Step 4 asks for the expected salary as a range in VND</t>
        </is>
      </c>
      <c r="D10" s="18" t="inlineStr">
        <is>
          <t>Positive</t>
        </is>
      </c>
      <c r="E10" s="19" t="inlineStr">
        <is>
          <t>High</t>
        </is>
      </c>
      <c r="F10" s="6" t="inlineStr">
        <is>
          <t>You are on step 4.</t>
        </is>
      </c>
      <c r="G10" s="6" t="inlineStr">
        <is>
          <t>1. Fill in the expected salary.
2. Continue.</t>
        </is>
      </c>
      <c r="H10" s="6" t="inlineStr">
        <is>
          <t>Salary: 20,000,000 – 30,000,000 VND</t>
        </is>
      </c>
      <c r="I10" s="6" t="inlineStr">
        <is>
          <t>The salary is entered as a range in VND and is accepted.</t>
        </is>
      </c>
      <c r="J10" s="20" t="inlineStr"/>
      <c r="K10" s="21" t="inlineStr"/>
      <c r="L10" s="20" t="inlineStr"/>
      <c r="M10" s="21" t="inlineStr"/>
      <c r="N10" s="20" t="inlineStr"/>
    </row>
    <row r="11" ht="40.5" customHeight="1">
      <c r="A11" s="22" t="inlineStr">
        <is>
          <t>JS-04-08</t>
        </is>
      </c>
      <c r="B11" s="23" t="inlineStr">
        <is>
          <t>Onboarding</t>
        </is>
      </c>
      <c r="C11" s="23" t="inlineStr">
        <is>
          <t>The job-count 'carrot' updates as you answer</t>
        </is>
      </c>
      <c r="D11" s="18" t="inlineStr">
        <is>
          <t>Positive</t>
        </is>
      </c>
      <c r="E11" s="24" t="inlineStr">
        <is>
          <t>Medium</t>
        </is>
      </c>
      <c r="F11" s="23" t="inlineStr">
        <is>
          <t>You are on step 1.</t>
        </is>
      </c>
      <c r="G11" s="23" t="inlineStr">
        <is>
          <t>1. Write down the job count shown on step 1.
2. Answer step 1 and go to step 2. Write down the count.
3. Answer step 2 and go to step 3. Write down the count.</t>
        </is>
      </c>
      <c r="H11" s="23" t="inlineStr">
        <is>
          <t>-</t>
        </is>
      </c>
      <c r="I11" s="23" t="inlineStr">
        <is>
          <t>A live count is shown on each step, for example '12,231 jobs match so far'.
The number changes between steps as your answers narrow it down.</t>
        </is>
      </c>
      <c r="J11" s="20" t="inlineStr"/>
      <c r="K11" s="21" t="inlineStr"/>
      <c r="L11" s="20" t="inlineStr"/>
      <c r="M11" s="21" t="inlineStr"/>
      <c r="N11" s="20" t="inlineStr"/>
    </row>
    <row r="12" ht="40.5" customHeight="1">
      <c r="A12" s="17" t="inlineStr">
        <is>
          <t>JS-04-09</t>
        </is>
      </c>
      <c r="B12" s="6" t="inlineStr">
        <is>
          <t>Onboarding</t>
        </is>
      </c>
      <c r="C12" s="6" t="inlineStr">
        <is>
          <t>The last step shows matched jobs and each one can be saved</t>
        </is>
      </c>
      <c r="D12" s="18" t="inlineStr">
        <is>
          <t>Positive</t>
        </is>
      </c>
      <c r="E12" s="19" t="inlineStr">
        <is>
          <t>High</t>
        </is>
      </c>
      <c r="F12" s="6" t="inlineStr">
        <is>
          <t>You finished step 4.</t>
        </is>
      </c>
      <c r="G12" s="6" t="inlineStr">
        <is>
          <t>1. Look at the results page.
2. Click the save (heart) icon on one job.
3. Go to My page → Saved jobs.</t>
        </is>
      </c>
      <c r="H12" s="6" t="inlineStr">
        <is>
          <t>-</t>
        </is>
      </c>
      <c r="I12" s="6" t="inlineStr">
        <is>
          <t>A full page of matched jobs is shown with a line like 'We found the best job postings based on the information you entered'.
Each job can be saved.
The job you saved appears in Saved jobs.</t>
        </is>
      </c>
      <c r="J12" s="20" t="inlineStr"/>
      <c r="K12" s="21" t="inlineStr"/>
      <c r="L12" s="20" t="inlineStr"/>
      <c r="M12" s="21" t="inlineStr"/>
      <c r="N12" s="20" t="inlineStr"/>
    </row>
    <row r="13" ht="28" customHeight="1">
      <c r="A13" s="22" t="inlineStr">
        <is>
          <t>JS-04-10</t>
        </is>
      </c>
      <c r="B13" s="23" t="inlineStr">
        <is>
          <t>Onboarding</t>
        </is>
      </c>
      <c r="C13" s="23" t="inlineStr">
        <is>
          <t>The results page leads to My CVs</t>
        </is>
      </c>
      <c r="D13" s="18" t="inlineStr">
        <is>
          <t>Positive</t>
        </is>
      </c>
      <c r="E13" s="19" t="inlineStr">
        <is>
          <t>High</t>
        </is>
      </c>
      <c r="F13" s="23" t="inlineStr">
        <is>
          <t>You are on the onboarding results page.</t>
        </is>
      </c>
      <c r="G13" s="23" t="inlineStr">
        <is>
          <t>1. Click 'Complete your CV and go apply →'.</t>
        </is>
      </c>
      <c r="H13" s="23" t="inlineStr">
        <is>
          <t>-</t>
        </is>
      </c>
      <c r="I13" s="23" t="inlineStr">
        <is>
          <t>You land on My CVs, where you can upload a PDF or build a Saramin CV.</t>
        </is>
      </c>
      <c r="J13" s="20" t="inlineStr"/>
      <c r="K13" s="21" t="inlineStr"/>
      <c r="L13" s="20" t="inlineStr"/>
      <c r="M13" s="21" t="inlineStr"/>
      <c r="N13" s="20" t="inlineStr"/>
    </row>
    <row r="14" ht="40.5" customHeight="1">
      <c r="A14" s="17" t="inlineStr">
        <is>
          <t>JS-04-11</t>
        </is>
      </c>
      <c r="B14" s="6" t="inlineStr">
        <is>
          <t>Onboarding</t>
        </is>
      </c>
      <c r="C14" s="6" t="inlineStr">
        <is>
          <t>Any step can be skipped and the account still works</t>
        </is>
      </c>
      <c r="D14" s="18" t="inlineStr">
        <is>
          <t>Positive</t>
        </is>
      </c>
      <c r="E14" s="19" t="inlineStr">
        <is>
          <t>High</t>
        </is>
      </c>
      <c r="F14" s="6" t="inlineStr">
        <is>
          <t>You are on step 1 of a brand-new account.</t>
        </is>
      </c>
      <c r="G14" s="6" t="inlineStr">
        <is>
          <t>1. Skip every step until the end.
2. Go to the homepage and search for a job.
3. Open a job and try to apply (with a CV already uploaded).</t>
        </is>
      </c>
      <c r="H14" s="6" t="inlineStr">
        <is>
          <t>-</t>
        </is>
      </c>
      <c r="I14" s="6" t="inlineStr">
        <is>
          <t>Skipping is allowed on every step.
The account is usable: you can browse, save and apply.
An incomplete profile is normal — it lowers ranking, it does not block anything.</t>
        </is>
      </c>
      <c r="J14" s="20" t="inlineStr"/>
      <c r="K14" s="21" t="inlineStr"/>
      <c r="L14" s="20" t="inlineStr"/>
      <c r="M14" s="21" t="inlineStr"/>
      <c r="N14" s="20" t="inlineStr"/>
    </row>
    <row r="15" ht="40.5" customHeight="1">
      <c r="A15" s="22" t="inlineStr">
        <is>
          <t>JS-04-12</t>
        </is>
      </c>
      <c r="B15" s="23" t="inlineStr">
        <is>
          <t>Onboarding</t>
        </is>
      </c>
      <c r="C15" s="23" t="inlineStr">
        <is>
          <t>Answers are saved step by step, so leaving half-way keeps what you typed</t>
        </is>
      </c>
      <c r="D15" s="26" t="inlineStr">
        <is>
          <t>Edge</t>
        </is>
      </c>
      <c r="E15" s="19" t="inlineStr">
        <is>
          <t>High</t>
        </is>
      </c>
      <c r="F15" s="23" t="inlineStr">
        <is>
          <t>You are on step 2 of the wizard.</t>
        </is>
      </c>
      <c r="G15" s="23" t="inlineStr">
        <is>
          <t>1. Answer step 1 and step 2.
2. Close the browser without finishing.
3. Sign in again and return to the wizard (or My page).</t>
        </is>
      </c>
      <c r="H15" s="23" t="inlineStr">
        <is>
          <t>-</t>
        </is>
      </c>
      <c r="I15" s="23" t="inlineStr">
        <is>
          <t>The answers from steps 1 and 2 are still there.
Nothing you already typed is lost.</t>
        </is>
      </c>
      <c r="J15" s="20" t="inlineStr"/>
      <c r="K15" s="21" t="inlineStr"/>
      <c r="L15" s="20" t="inlineStr"/>
      <c r="M15" s="21" t="inlineStr"/>
      <c r="N15" s="20" t="inlineStr"/>
    </row>
    <row r="16" ht="40.5" customHeight="1">
      <c r="A16" s="17" t="inlineStr">
        <is>
          <t>JS-04-13</t>
        </is>
      </c>
      <c r="B16" s="6" t="inlineStr">
        <is>
          <t>Onboarding</t>
        </is>
      </c>
      <c r="C16" s="6" t="inlineStr">
        <is>
          <t>Going Back to an earlier step keeps the answers</t>
        </is>
      </c>
      <c r="D16" s="18" t="inlineStr">
        <is>
          <t>Positive</t>
        </is>
      </c>
      <c r="E16" s="24" t="inlineStr">
        <is>
          <t>Medium</t>
        </is>
      </c>
      <c r="F16" s="6" t="inlineStr">
        <is>
          <t>You are on step 3.</t>
        </is>
      </c>
      <c r="G16" s="6" t="inlineStr">
        <is>
          <t>1. Click Back to step 2.
2. Look at the answers.
3. Go forward again.</t>
        </is>
      </c>
      <c r="H16" s="6" t="inlineStr">
        <is>
          <t>-</t>
        </is>
      </c>
      <c r="I16" s="6" t="inlineStr">
        <is>
          <t>Every answer is still filled in on both steps.
Nothing is cleared by moving back and forth.</t>
        </is>
      </c>
      <c r="J16" s="20" t="inlineStr"/>
      <c r="K16" s="21" t="inlineStr"/>
      <c r="L16" s="20" t="inlineStr"/>
      <c r="M16" s="21" t="inlineStr"/>
      <c r="N16" s="20" t="inlineStr"/>
    </row>
    <row r="17" ht="28" customHeight="1">
      <c r="A17" s="22" t="inlineStr">
        <is>
          <t>JS-04-14</t>
        </is>
      </c>
      <c r="B17" s="23" t="inlineStr">
        <is>
          <t>Onboarding</t>
        </is>
      </c>
      <c r="C17" s="23" t="inlineStr">
        <is>
          <t>Onboarding never asks for CV content</t>
        </is>
      </c>
      <c r="D17" s="18" t="inlineStr">
        <is>
          <t>Positive</t>
        </is>
      </c>
      <c r="E17" s="19" t="inlineStr">
        <is>
          <t>High</t>
        </is>
      </c>
      <c r="F17" s="23" t="inlineStr">
        <is>
          <t>You are running through the wizard.</t>
        </is>
      </c>
      <c r="G17" s="23" t="inlineStr">
        <is>
          <t>1. Read every field on all four steps.</t>
        </is>
      </c>
      <c r="H17" s="23" t="inlineStr">
        <is>
          <t>-</t>
        </is>
      </c>
      <c r="I17" s="23" t="inlineStr">
        <is>
          <t>Nowhere does the wizard ask for work history, education detail (school / major), skills, certificates or languages.
Those come only from the CV.</t>
        </is>
      </c>
      <c r="J17" s="20" t="inlineStr"/>
      <c r="K17" s="21" t="inlineStr"/>
      <c r="L17" s="20" t="inlineStr"/>
      <c r="M17" s="21" t="inlineStr"/>
      <c r="N17" s="20" t="inlineStr"/>
    </row>
    <row r="18" ht="28" customHeight="1">
      <c r="A18" s="17" t="inlineStr">
        <is>
          <t>JS-04-15</t>
        </is>
      </c>
      <c r="B18" s="6" t="inlineStr">
        <is>
          <t>Onboarding</t>
        </is>
      </c>
      <c r="C18" s="6" t="inlineStr">
        <is>
          <t>No matches — the results page suggests widening the search</t>
        </is>
      </c>
      <c r="D18" s="26" t="inlineStr">
        <is>
          <t>Edge</t>
        </is>
      </c>
      <c r="E18" s="24" t="inlineStr">
        <is>
          <t>Medium</t>
        </is>
      </c>
      <c r="F18" s="6" t="inlineStr">
        <is>
          <t>Set answers so narrow that no job can match (for example a rare role in a small province with a very high salary).</t>
        </is>
      </c>
      <c r="G18" s="6" t="inlineStr">
        <is>
          <t>1. Complete all four steps with very narrow answers.
2. Look at the results page.</t>
        </is>
      </c>
      <c r="H18" s="6" t="inlineStr">
        <is>
          <t>Salary: 500,000,000 VND
Location: a small province</t>
        </is>
      </c>
      <c r="I18" s="6" t="inlineStr">
        <is>
          <t>The page does not look broken or empty.
It explains no matches were found yet and suggests ways to broaden (for example remove the salary or add a location).</t>
        </is>
      </c>
      <c r="J18" s="20" t="inlineStr"/>
      <c r="K18" s="21" t="inlineStr"/>
      <c r="L18" s="20" t="inlineStr"/>
      <c r="M18" s="21" t="inlineStr"/>
      <c r="N18" s="20" t="inlineStr"/>
    </row>
    <row r="19" ht="28" customHeight="1">
      <c r="A19" s="22" t="inlineStr">
        <is>
          <t>JS-04-16</t>
        </is>
      </c>
      <c r="B19" s="23" t="inlineStr">
        <is>
          <t>Onboarding</t>
        </is>
      </c>
      <c r="C19" s="23" t="inlineStr">
        <is>
          <t>The answers appear afterwards in the profile</t>
        </is>
      </c>
      <c r="D19" s="18" t="inlineStr">
        <is>
          <t>Positive</t>
        </is>
      </c>
      <c r="E19" s="19" t="inlineStr">
        <is>
          <t>High</t>
        </is>
      </c>
      <c r="F19" s="23" t="inlineStr">
        <is>
          <t>You completed all four onboarding steps.</t>
        </is>
      </c>
      <c r="G19" s="23" t="inlineStr">
        <is>
          <t>1. Go to My page (or My CVs → profile summary).
2. Compare the desired role, category, industry, location, salary, years and education with what you typed.</t>
        </is>
      </c>
      <c r="H19" s="23" t="inlineStr">
        <is>
          <t>-</t>
        </is>
      </c>
      <c r="I19" s="23" t="inlineStr">
        <is>
          <t>Every one of the seven onboarding answers is shown on the profile with the same value you entered.
They are editable there.</t>
        </is>
      </c>
      <c r="J19" s="20" t="inlineStr"/>
      <c r="K19" s="21" t="inlineStr"/>
      <c r="L19" s="20" t="inlineStr"/>
      <c r="M19" s="21" t="inlineStr"/>
      <c r="N19" s="20" t="inlineStr"/>
    </row>
  </sheetData>
  <autoFilter ref="A3:N19"/>
  <mergeCells count="2">
    <mergeCell ref="A2:N2"/>
    <mergeCell ref="A1:N1"/>
  </mergeCells>
  <dataValidations count="1">
    <dataValidation sqref="K4:K19"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JS-05 · Create a CV — upload a file, or build a Saramin CV</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28" customHeight="1">
      <c r="A4" s="17" t="inlineStr">
        <is>
          <t>JS-05-01</t>
        </is>
      </c>
      <c r="B4" s="6" t="inlineStr">
        <is>
          <t>Add a new CV</t>
        </is>
      </c>
      <c r="C4" s="6" t="inlineStr">
        <is>
          <t>'+ Add new CV' offers exactly two routes</t>
        </is>
      </c>
      <c r="D4" s="18" t="inlineStr">
        <is>
          <t>Positive</t>
        </is>
      </c>
      <c r="E4" s="19" t="inlineStr">
        <is>
          <t>High</t>
        </is>
      </c>
      <c r="F4" s="6" t="inlineStr">
        <is>
          <t>You are signed in with an Active account and are on My CVs.</t>
        </is>
      </c>
      <c r="G4" s="6" t="inlineStr">
        <is>
          <t>1. Click '+ Add new CV'.
2. Look at the choices offered.</t>
        </is>
      </c>
      <c r="H4" s="6" t="inlineStr">
        <is>
          <t>-</t>
        </is>
      </c>
      <c r="I4" s="6" t="inlineStr">
        <is>
          <t>Two routes are offered: 'Upload a CV' (recommended, already selected) and 'Build / Create a Saramin CV'.
No other route is offered.</t>
        </is>
      </c>
      <c r="J4" s="20" t="inlineStr"/>
      <c r="K4" s="21" t="inlineStr"/>
      <c r="L4" s="20" t="inlineStr"/>
      <c r="M4" s="21" t="inlineStr"/>
      <c r="N4" s="20" t="inlineStr"/>
    </row>
    <row r="5" ht="40.5" customHeight="1">
      <c r="A5" s="22" t="inlineStr">
        <is>
          <t>JS-05-02</t>
        </is>
      </c>
      <c r="B5" s="23" t="inlineStr">
        <is>
          <t>Add a new CV</t>
        </is>
      </c>
      <c r="C5" s="23" t="inlineStr">
        <is>
          <t>The same Add-a-new-CV flow opens from inside Apply</t>
        </is>
      </c>
      <c r="D5" s="18" t="inlineStr">
        <is>
          <t>Positive</t>
        </is>
      </c>
      <c r="E5" s="19" t="inlineStr">
        <is>
          <t>High</t>
        </is>
      </c>
      <c r="F5" s="23" t="inlineStr">
        <is>
          <t>You are signed in and on a job detail page of an Open job.</t>
        </is>
      </c>
      <c r="G5" s="23" t="inlineStr">
        <is>
          <t>1. Click 'Apply now'.
2. In section ① Your CV, click 'Add a new CV'.
3. Compare the screen with what you saw in JS-06-01.</t>
        </is>
      </c>
      <c r="H5" s="23" t="inlineStr">
        <is>
          <t>-</t>
        </is>
      </c>
      <c r="I5" s="23" t="inlineStr">
        <is>
          <t>Exactly the same Add-a-new-CV screen opens, with the same two routes.
The two places must not look or behave differently.</t>
        </is>
      </c>
      <c r="J5" s="20" t="inlineStr"/>
      <c r="K5" s="21" t="inlineStr"/>
      <c r="L5" s="20" t="inlineStr"/>
      <c r="M5" s="21" t="inlineStr"/>
      <c r="N5" s="20" t="inlineStr"/>
    </row>
    <row r="6" ht="67.5" customHeight="1">
      <c r="A6" s="17" t="inlineStr">
        <is>
          <t>JS-05-03</t>
        </is>
      </c>
      <c r="B6" s="6" t="inlineStr">
        <is>
          <t>Upload a CV</t>
        </is>
      </c>
      <c r="C6" s="6" t="inlineStr">
        <is>
          <t>Uploading a normal PDF saves it in one step</t>
        </is>
      </c>
      <c r="D6" s="18" t="inlineStr">
        <is>
          <t>Positive</t>
        </is>
      </c>
      <c r="E6" s="19" t="inlineStr">
        <is>
          <t>High</t>
        </is>
      </c>
      <c r="F6" s="6" t="inlineStr">
        <is>
          <t>You have a real CV in PDF, under 5MB, containing work experience and education.</t>
        </is>
      </c>
      <c r="G6" s="6" t="inlineStr">
        <is>
          <t>1. Choose 'Upload a CV'.
2. Pick the PDF file.
3. Look at the preview shown.
4. Click 'Save my PDF'.
5. Go back to My CVs.</t>
        </is>
      </c>
      <c r="H6" s="6" t="inlineStr">
        <is>
          <t>A normal 1–2 page CV PDF</t>
        </is>
      </c>
      <c r="I6" s="6" t="inlineStr">
        <is>
          <t>The PDF preview is shown before saving.
After saving, the CV appears in My CVs with a name (the file name by default) and a tag showing it is an uploaded PDF.
It can be used to apply straight away.</t>
        </is>
      </c>
      <c r="J6" s="20" t="inlineStr"/>
      <c r="K6" s="21" t="inlineStr"/>
      <c r="L6" s="20" t="inlineStr"/>
      <c r="M6" s="21" t="inlineStr"/>
      <c r="N6" s="20" t="inlineStr"/>
    </row>
    <row r="7" ht="40.5" customHeight="1">
      <c r="A7" s="22" t="inlineStr">
        <is>
          <t>JS-05-04</t>
        </is>
      </c>
      <c r="B7" s="23" t="inlineStr">
        <is>
          <t>Upload a CV</t>
        </is>
      </c>
      <c r="C7" s="23" t="inlineStr">
        <is>
          <t>The uploaded file is kept exactly as it was</t>
        </is>
      </c>
      <c r="D7" s="18" t="inlineStr">
        <is>
          <t>Positive</t>
        </is>
      </c>
      <c r="E7" s="19" t="inlineStr">
        <is>
          <t>High</t>
        </is>
      </c>
      <c r="F7" s="23" t="inlineStr">
        <is>
          <t>You uploaded a CV (JS-06-03).</t>
        </is>
      </c>
      <c r="G7" s="23" t="inlineStr">
        <is>
          <t>1. In My CVs, open the ⋯ menu on that CV and click Download.
2. Open the downloaded file.
3. Compare it page by page with the file you uploaded.</t>
        </is>
      </c>
      <c r="H7" s="23" t="inlineStr">
        <is>
          <t>-</t>
        </is>
      </c>
      <c r="I7" s="23" t="inlineStr">
        <is>
          <t>The downloaded file is identical to the one you uploaded — same pages, same layout, nothing changed or re-rendered.</t>
        </is>
      </c>
      <c r="J7" s="20" t="inlineStr"/>
      <c r="K7" s="21" t="inlineStr"/>
      <c r="L7" s="20" t="inlineStr"/>
      <c r="M7" s="21" t="inlineStr"/>
      <c r="N7" s="20" t="inlineStr"/>
    </row>
    <row r="8" ht="40.5" customHeight="1">
      <c r="A8" s="17" t="inlineStr">
        <is>
          <t>JS-05-05</t>
        </is>
      </c>
      <c r="B8" s="6" t="inlineStr">
        <is>
          <t>Upload a CV</t>
        </is>
      </c>
      <c r="C8" s="6" t="inlineStr">
        <is>
          <t>A file type that is not allowed is refused</t>
        </is>
      </c>
      <c r="D8" s="25" t="inlineStr">
        <is>
          <t>Negative</t>
        </is>
      </c>
      <c r="E8" s="19" t="inlineStr">
        <is>
          <t>High</t>
        </is>
      </c>
      <c r="F8" s="6" t="inlineStr">
        <is>
          <t>You have a .txt or .xlsx file on your computer.</t>
        </is>
      </c>
      <c r="G8" s="6" t="inlineStr">
        <is>
          <t>1. Choose 'Upload a CV'.
2. Try to pick the .txt (or .xlsx) file.</t>
        </is>
      </c>
      <c r="H8" s="6" t="inlineStr">
        <is>
          <t>any .txt file</t>
        </is>
      </c>
      <c r="I8" s="6" t="inlineStr">
        <is>
          <t>The file is refused BEFORE it uploads.
A clear message names which types are allowed (PDF, DOC, DOCX).
Nothing is added to My CVs.</t>
        </is>
      </c>
      <c r="J8" s="20" t="inlineStr"/>
      <c r="K8" s="21" t="inlineStr"/>
      <c r="L8" s="20" t="inlineStr"/>
      <c r="M8" s="21" t="inlineStr"/>
      <c r="N8" s="20" t="inlineStr"/>
    </row>
    <row r="9" ht="28" customHeight="1">
      <c r="A9" s="22" t="inlineStr">
        <is>
          <t>JS-05-06</t>
        </is>
      </c>
      <c r="B9" s="23" t="inlineStr">
        <is>
          <t>Upload a CV</t>
        </is>
      </c>
      <c r="C9" s="23" t="inlineStr">
        <is>
          <t>A file that is too big is refused with a clear message</t>
        </is>
      </c>
      <c r="D9" s="25" t="inlineStr">
        <is>
          <t>Negative</t>
        </is>
      </c>
      <c r="E9" s="19" t="inlineStr">
        <is>
          <t>High</t>
        </is>
      </c>
      <c r="F9" s="23" t="inlineStr">
        <is>
          <t>You have a PDF bigger than 5MB.</t>
        </is>
      </c>
      <c r="G9" s="23" t="inlineStr">
        <is>
          <t>1. Choose 'Upload a CV'.
2. Pick the big file.</t>
        </is>
      </c>
      <c r="H9" s="23" t="inlineStr">
        <is>
          <t>a PDF over 5MB</t>
        </is>
      </c>
      <c r="I9" s="23" t="inlineStr">
        <is>
          <t>The upload is refused with a message saying the file is too large and stating the limit.
It does not fail silently or hang.</t>
        </is>
      </c>
      <c r="J9" s="20" t="inlineStr"/>
      <c r="K9" s="21" t="inlineStr"/>
      <c r="L9" s="20" t="inlineStr"/>
      <c r="M9" s="21" t="inlineStr"/>
      <c r="N9" s="20" t="inlineStr"/>
    </row>
    <row r="10" ht="40.5" customHeight="1">
      <c r="A10" s="17" t="inlineStr">
        <is>
          <t>JS-05-07</t>
        </is>
      </c>
      <c r="B10" s="6" t="inlineStr">
        <is>
          <t>Upload a CV</t>
        </is>
      </c>
      <c r="C10" s="6" t="inlineStr">
        <is>
          <t>A file with no work experience AND no education is refused as a CV</t>
        </is>
      </c>
      <c r="D10" s="25" t="inlineStr">
        <is>
          <t>Negative</t>
        </is>
      </c>
      <c r="E10" s="19" t="inlineStr">
        <is>
          <t>High</t>
        </is>
      </c>
      <c r="F10" s="6" t="inlineStr">
        <is>
          <t>You have a PDF that is a blank page, a photo, or a document unrelated to a CV.</t>
        </is>
      </c>
      <c r="G10" s="6" t="inlineStr">
        <is>
          <t>1. Choose 'Upload a CV'.
2. Pick that file.
3. Save.</t>
        </is>
      </c>
      <c r="H10" s="6" t="inlineStr">
        <is>
          <t>a blank PDF or a photo saved as PDF</t>
        </is>
      </c>
      <c r="I10" s="6" t="inlineStr">
        <is>
          <t>The file is NOT accepted as a CV.
The message explains why in plain words and offers a way forward: build a CV manually, or upload a clearer file.
This is the only case where an upload is fully blocked.</t>
        </is>
      </c>
      <c r="J10" s="20" t="inlineStr"/>
      <c r="K10" s="21" t="inlineStr"/>
      <c r="L10" s="20" t="inlineStr"/>
      <c r="M10" s="21" t="inlineStr"/>
      <c r="N10" s="20" t="inlineStr"/>
    </row>
    <row r="11" ht="28" customHeight="1">
      <c r="A11" s="22" t="inlineStr">
        <is>
          <t>JS-05-08</t>
        </is>
      </c>
      <c r="B11" s="23" t="inlineStr">
        <is>
          <t>Convert offer</t>
        </is>
      </c>
      <c r="C11" s="23" t="inlineStr">
        <is>
          <t>After saving an upload, you are OFFERED (not forced) to create a Saramin CV</t>
        </is>
      </c>
      <c r="D11" s="18" t="inlineStr">
        <is>
          <t>Positive</t>
        </is>
      </c>
      <c r="E11" s="19" t="inlineStr">
        <is>
          <t>High</t>
        </is>
      </c>
      <c r="F11" s="23" t="inlineStr">
        <is>
          <t>You have just saved an uploaded PDF.</t>
        </is>
      </c>
      <c r="G11" s="23" t="inlineStr">
        <is>
          <t>1. Look at the screen straight after saving.</t>
        </is>
      </c>
      <c r="H11" s="23" t="inlineStr">
        <is>
          <t>-</t>
        </is>
      </c>
      <c r="I11" s="23" t="inlineStr">
        <is>
          <t>An offer appears: 'Also create a Saramin CV from it?'
It is an offer, not a required step — there is a clear way to decline.</t>
        </is>
      </c>
      <c r="J11" s="20" t="inlineStr"/>
      <c r="K11" s="21" t="inlineStr"/>
      <c r="L11" s="20" t="inlineStr"/>
      <c r="M11" s="21" t="inlineStr"/>
      <c r="N11" s="20" t="inlineStr"/>
    </row>
    <row r="12" ht="40.5" customHeight="1">
      <c r="A12" s="17" t="inlineStr">
        <is>
          <t>JS-05-09</t>
        </is>
      </c>
      <c r="B12" s="6" t="inlineStr">
        <is>
          <t>Convert offer</t>
        </is>
      </c>
      <c r="C12" s="6" t="inlineStr">
        <is>
          <t>Declining the offer still leaves a complete, usable CV</t>
        </is>
      </c>
      <c r="D12" s="18" t="inlineStr">
        <is>
          <t>Positive</t>
        </is>
      </c>
      <c r="E12" s="19" t="inlineStr">
        <is>
          <t>High</t>
        </is>
      </c>
      <c r="F12" s="6" t="inlineStr">
        <is>
          <t>The convert offer is on screen.</t>
        </is>
      </c>
      <c r="G12" s="6" t="inlineStr">
        <is>
          <t>1. Decline the offer.
2. Go to My CVs.
3. Open a job and start an apply, and try to pick this CV.</t>
        </is>
      </c>
      <c r="H12" s="6" t="inlineStr">
        <is>
          <t>-</t>
        </is>
      </c>
      <c r="I12" s="6" t="inlineStr">
        <is>
          <t>The uploaded CV is in My CVs and can be selected when applying.
Nothing is missing or marked as incomplete because you declined.</t>
        </is>
      </c>
      <c r="J12" s="20" t="inlineStr"/>
      <c r="K12" s="21" t="inlineStr"/>
      <c r="L12" s="20" t="inlineStr"/>
      <c r="M12" s="21" t="inlineStr"/>
      <c r="N12" s="20" t="inlineStr"/>
    </row>
    <row r="13" ht="54" customHeight="1">
      <c r="A13" s="22" t="inlineStr">
        <is>
          <t>JS-05-10</t>
        </is>
      </c>
      <c r="B13" s="23" t="inlineStr">
        <is>
          <t>Convert offer</t>
        </is>
      </c>
      <c r="C13" s="23" t="inlineStr">
        <is>
          <t>The offer is asked once, then lives quietly on the CV card</t>
        </is>
      </c>
      <c r="D13" s="26" t="inlineStr">
        <is>
          <t>Edge</t>
        </is>
      </c>
      <c r="E13" s="24" t="inlineStr">
        <is>
          <t>Medium</t>
        </is>
      </c>
      <c r="F13" s="23" t="inlineStr">
        <is>
          <t>You declined the convert offer.</t>
        </is>
      </c>
      <c r="G13" s="23" t="inlineStr">
        <is>
          <t>1. Refresh My CVs.
2. Sign out and sign back in.
3. Open My CVs again.
4. Open the ⋯ menu on that CV.</t>
        </is>
      </c>
      <c r="H13" s="23" t="inlineStr">
        <is>
          <t>-</t>
        </is>
      </c>
      <c r="I13" s="23" t="inlineStr">
        <is>
          <t>The offer does NOT pop up again and again.
It is still available as a quiet action on the CV (for example inside the ⋯ menu).</t>
        </is>
      </c>
      <c r="J13" s="20" t="inlineStr"/>
      <c r="K13" s="21" t="inlineStr"/>
      <c r="L13" s="20" t="inlineStr"/>
      <c r="M13" s="21" t="inlineStr"/>
      <c r="N13" s="20" t="inlineStr"/>
    </row>
    <row r="14" ht="40.5" customHeight="1">
      <c r="A14" s="17" t="inlineStr">
        <is>
          <t>JS-05-11</t>
        </is>
      </c>
      <c r="B14" s="6" t="inlineStr">
        <is>
          <t>CV compare</t>
        </is>
      </c>
      <c r="C14" s="6" t="inlineStr">
        <is>
          <t>Accepting the offer opens the compare screen with the PDF beside the structured CV</t>
        </is>
      </c>
      <c r="D14" s="18" t="inlineStr">
        <is>
          <t>Positive</t>
        </is>
      </c>
      <c r="E14" s="19" t="inlineStr">
        <is>
          <t>High</t>
        </is>
      </c>
      <c r="F14" s="6" t="inlineStr">
        <is>
          <t>You uploaded a PDF and accepted the convert offer.</t>
        </is>
      </c>
      <c r="G14" s="6" t="inlineStr">
        <is>
          <t>1. Wait for the reading / extracting state to finish.
2. Look at the compare screen.</t>
        </is>
      </c>
      <c r="H14" s="6" t="inlineStr">
        <is>
          <t>-</t>
        </is>
      </c>
      <c r="I14" s="6" t="inlineStr">
        <is>
          <t>Your uploaded PDF is shown on the LEFT as a reference.
The same information restructured as a Saramin CV is on the RIGHT as the main subject.
You can read both at once.</t>
        </is>
      </c>
      <c r="J14" s="20" t="inlineStr"/>
      <c r="K14" s="21" t="inlineStr"/>
      <c r="L14" s="20" t="inlineStr"/>
      <c r="M14" s="21" t="inlineStr"/>
      <c r="N14" s="20" t="inlineStr"/>
    </row>
    <row r="15" ht="54" customHeight="1">
      <c r="A15" s="22" t="inlineStr">
        <is>
          <t>JS-05-12</t>
        </is>
      </c>
      <c r="B15" s="23" t="inlineStr">
        <is>
          <t>CV compare</t>
        </is>
      </c>
      <c r="C15" s="23" t="inlineStr">
        <is>
          <t>Missing details are flagged in the right place and can be typed in</t>
        </is>
      </c>
      <c r="D15" s="18" t="inlineStr">
        <is>
          <t>Positive</t>
        </is>
      </c>
      <c r="E15" s="19" t="inlineStr">
        <is>
          <t>High</t>
        </is>
      </c>
      <c r="F15" s="23" t="inlineStr">
        <is>
          <t>You are on the compare screen and something was not read correctly (for example a date or a job title).</t>
        </is>
      </c>
      <c r="G15" s="23" t="inlineStr">
        <is>
          <t>1. Find a flagged gap on the right side.
2. Read it off your own PDF on the left.
3. Type it into the empty box.
4. Save.</t>
        </is>
      </c>
      <c r="H15" s="23" t="inlineStr">
        <is>
          <t>-</t>
        </is>
      </c>
      <c r="I15" s="23" t="inlineStr">
        <is>
          <t>Each gap is flagged INSIDE the structure at the exact place it belongs, with an empty box to type into.
What you type is saved.</t>
        </is>
      </c>
      <c r="J15" s="20" t="inlineStr"/>
      <c r="K15" s="21" t="inlineStr"/>
      <c r="L15" s="20" t="inlineStr"/>
      <c r="M15" s="21" t="inlineStr"/>
      <c r="N15" s="20" t="inlineStr"/>
    </row>
    <row r="16" ht="28" customHeight="1">
      <c r="A16" s="17" t="inlineStr">
        <is>
          <t>JS-05-13</t>
        </is>
      </c>
      <c r="B16" s="6" t="inlineStr">
        <is>
          <t>CV compare</t>
        </is>
      </c>
      <c r="C16" s="6" t="inlineStr">
        <is>
          <t>You can save with a gap still open</t>
        </is>
      </c>
      <c r="D16" s="18" t="inlineStr">
        <is>
          <t>Positive</t>
        </is>
      </c>
      <c r="E16" s="24" t="inlineStr">
        <is>
          <t>Medium</t>
        </is>
      </c>
      <c r="F16" s="6" t="inlineStr">
        <is>
          <t>You are on the compare screen with at least one gap left empty.</t>
        </is>
      </c>
      <c r="G16" s="6" t="inlineStr">
        <is>
          <t>1. Leave a core gap empty.
2. Click Save.</t>
        </is>
      </c>
      <c r="H16" s="6" t="inlineStr">
        <is>
          <t>-</t>
        </is>
      </c>
      <c r="I16" s="6" t="inlineStr">
        <is>
          <t>Saving is allowed.
The screen tells you the gap costs completeness and search ranking — it warns, it does not block.</t>
        </is>
      </c>
      <c r="J16" s="20" t="inlineStr"/>
      <c r="K16" s="21" t="inlineStr"/>
      <c r="L16" s="20" t="inlineStr"/>
      <c r="M16" s="21" t="inlineStr"/>
      <c r="N16" s="20" t="inlineStr"/>
    </row>
    <row r="17" ht="40.5" customHeight="1">
      <c r="A17" s="22" t="inlineStr">
        <is>
          <t>JS-05-14</t>
        </is>
      </c>
      <c r="B17" s="23" t="inlineStr">
        <is>
          <t>CV compare</t>
        </is>
      </c>
      <c r="C17" s="23" t="inlineStr">
        <is>
          <t>Suggested skills are added only when you tap them</t>
        </is>
      </c>
      <c r="D17" s="18" t="inlineStr">
        <is>
          <t>Positive</t>
        </is>
      </c>
      <c r="E17" s="19" t="inlineStr">
        <is>
          <t>High</t>
        </is>
      </c>
      <c r="F17" s="23" t="inlineStr">
        <is>
          <t>You are on the compare screen and skill suggestions are shown as chips.</t>
        </is>
      </c>
      <c r="G17" s="23" t="inlineStr">
        <is>
          <t>1. Write down the list of skills already on the CV.
2. Save WITHOUT tapping any suggestion chip.
3. Re-open the CV and check the skills.</t>
        </is>
      </c>
      <c r="H17" s="23" t="inlineStr">
        <is>
          <t>-</t>
        </is>
      </c>
      <c r="I17" s="23" t="inlineStr">
        <is>
          <t>Only the skills that were already there are saved.
No suggested skill is added by itself.
Tapping a chip adds it — one tap each.</t>
        </is>
      </c>
      <c r="J17" s="20" t="inlineStr"/>
      <c r="K17" s="21" t="inlineStr"/>
      <c r="L17" s="20" t="inlineStr"/>
      <c r="M17" s="21" t="inlineStr"/>
      <c r="N17" s="20" t="inlineStr"/>
    </row>
    <row r="18" ht="40.5" customHeight="1">
      <c r="A18" s="17" t="inlineStr">
        <is>
          <t>JS-05-15</t>
        </is>
      </c>
      <c r="B18" s="6" t="inlineStr">
        <is>
          <t>CV compare</t>
        </is>
      </c>
      <c r="C18" s="6" t="inlineStr">
        <is>
          <t>The original PDF is never changed by the compare screen</t>
        </is>
      </c>
      <c r="D18" s="18" t="inlineStr">
        <is>
          <t>Positive</t>
        </is>
      </c>
      <c r="E18" s="19" t="inlineStr">
        <is>
          <t>High</t>
        </is>
      </c>
      <c r="F18" s="6" t="inlineStr">
        <is>
          <t>You saved a converted CV (JS-06-12).</t>
        </is>
      </c>
      <c r="G18" s="6" t="inlineStr">
        <is>
          <t>1. Go to My CVs.
2. Download the original uploaded PDF.
3. Open it.</t>
        </is>
      </c>
      <c r="H18" s="6" t="inlineStr">
        <is>
          <t>-</t>
        </is>
      </c>
      <c r="I18" s="6" t="inlineStr">
        <is>
          <t>The original PDF still exists in My CVs and is unchanged.
Anything you typed on the compare screen went into the structured record, not into the file.</t>
        </is>
      </c>
      <c r="J18" s="20" t="inlineStr"/>
      <c r="K18" s="21" t="inlineStr"/>
      <c r="L18" s="20" t="inlineStr"/>
      <c r="M18" s="21" t="inlineStr"/>
      <c r="N18" s="20" t="inlineStr"/>
    </row>
    <row r="19" ht="28" customHeight="1">
      <c r="A19" s="22" t="inlineStr">
        <is>
          <t>JS-05-16</t>
        </is>
      </c>
      <c r="B19" s="23" t="inlineStr">
        <is>
          <t>Build a CV</t>
        </is>
      </c>
      <c r="C19" s="23" t="inlineStr">
        <is>
          <t>The builder opens with your details already filled in from the profile</t>
        </is>
      </c>
      <c r="D19" s="18" t="inlineStr">
        <is>
          <t>Positive</t>
        </is>
      </c>
      <c r="E19" s="19" t="inlineStr">
        <is>
          <t>High</t>
        </is>
      </c>
      <c r="F19" s="23" t="inlineStr">
        <is>
          <t>You have completed onboarding and are on Add a new CV.</t>
        </is>
      </c>
      <c r="G19" s="23" t="inlineStr">
        <is>
          <t>1. Choose 'Create a Saramin CV'.
2. Look at the personal / header section.</t>
        </is>
      </c>
      <c r="H19" s="23" t="inlineStr">
        <is>
          <t>-</t>
        </is>
      </c>
      <c r="I19" s="23" t="inlineStr">
        <is>
          <t>Name, headline / current role, location and contact are already filled in from your profile.
You do not re-type them for every CV.</t>
        </is>
      </c>
      <c r="J19" s="20" t="inlineStr"/>
      <c r="K19" s="21" t="inlineStr"/>
      <c r="L19" s="20" t="inlineStr"/>
      <c r="M19" s="21" t="inlineStr"/>
      <c r="N19" s="20" t="inlineStr"/>
    </row>
    <row r="20" ht="81" customHeight="1">
      <c r="A20" s="17" t="inlineStr">
        <is>
          <t>JS-05-17</t>
        </is>
      </c>
      <c r="B20" s="6" t="inlineStr">
        <is>
          <t>Build a CV</t>
        </is>
      </c>
      <c r="C20" s="6" t="inlineStr">
        <is>
          <t>You can fill Education, Work experience, Skills and About and finish the CV</t>
        </is>
      </c>
      <c r="D20" s="18" t="inlineStr">
        <is>
          <t>Positive</t>
        </is>
      </c>
      <c r="E20" s="19" t="inlineStr">
        <is>
          <t>High</t>
        </is>
      </c>
      <c r="F20" s="6" t="inlineStr">
        <is>
          <t>You are in the CV builder.</t>
        </is>
      </c>
      <c r="G20" s="6" t="inlineStr">
        <is>
          <t>1. Fill in one Education entry.
2. Fill in one Work experience entry (company, title, from–to, description).
3. Add 5 skills.
4. Write a short About.
5. Name the CV in the bottom bar.
6. Click 'Completed'.</t>
        </is>
      </c>
      <c r="H20" s="6" t="inlineStr">
        <is>
          <t>CV name: Product Designer CV</t>
        </is>
      </c>
      <c r="I20" s="6" t="inlineStr">
        <is>
          <t>The CV is saved and appears in My CVs with the name you gave and a 'Saramin template' tag.</t>
        </is>
      </c>
      <c r="J20" s="20" t="inlineStr"/>
      <c r="K20" s="21" t="inlineStr"/>
      <c r="L20" s="20" t="inlineStr"/>
      <c r="M20" s="21" t="inlineStr"/>
      <c r="N20" s="20" t="inlineStr"/>
    </row>
    <row r="21" ht="40.5" customHeight="1">
      <c r="A21" s="22" t="inlineStr">
        <is>
          <t>JS-05-18</t>
        </is>
      </c>
      <c r="B21" s="23" t="inlineStr">
        <is>
          <t>Build a CV</t>
        </is>
      </c>
      <c r="C21" s="23" t="inlineStr">
        <is>
          <t>Skills come from the master list, not free typing</t>
        </is>
      </c>
      <c r="D21" s="25" t="inlineStr">
        <is>
          <t>Negative</t>
        </is>
      </c>
      <c r="E21" s="19" t="inlineStr">
        <is>
          <t>High</t>
        </is>
      </c>
      <c r="F21" s="23" t="inlineStr">
        <is>
          <t>You are in the Skills section of the builder.</t>
        </is>
      </c>
      <c r="G21" s="23" t="inlineStr">
        <is>
          <t>1. Start typing 'Reac' and look at the suggestions.
2. Pick one from the list.
3. Now type a made-up skill like 'Zzqqx' and try to save it.</t>
        </is>
      </c>
      <c r="H21" s="23" t="inlineStr">
        <is>
          <t>Typed: Reac, then Zzqqx</t>
        </is>
      </c>
      <c r="I21" s="23" t="inlineStr">
        <is>
          <t>Real skills appear as suggestions while typing and can be picked.
A made-up word is not stored as-is — the screen offers the closest real skill instead.
(If free text is stored raw, mark Fail: matching with jobs will silently stop working.)</t>
        </is>
      </c>
      <c r="J21" s="20" t="inlineStr"/>
      <c r="K21" s="21" t="inlineStr"/>
      <c r="L21" s="20" t="inlineStr"/>
      <c r="M21" s="21" t="inlineStr"/>
      <c r="N21" s="20" t="inlineStr"/>
    </row>
    <row r="22" ht="40.5" customHeight="1">
      <c r="A22" s="17" t="inlineStr">
        <is>
          <t>JS-05-19</t>
        </is>
      </c>
      <c r="B22" s="6" t="inlineStr">
        <is>
          <t>Build a CV</t>
        </is>
      </c>
      <c r="C22" s="6" t="inlineStr">
        <is>
          <t>The builder keeps your work if the browser closes</t>
        </is>
      </c>
      <c r="D22" s="26" t="inlineStr">
        <is>
          <t>Edge</t>
        </is>
      </c>
      <c r="E22" s="19" t="inlineStr">
        <is>
          <t>High</t>
        </is>
      </c>
      <c r="F22" s="6" t="inlineStr">
        <is>
          <t>You are half-way through the builder with a work history typed.</t>
        </is>
      </c>
      <c r="G22" s="6" t="inlineStr">
        <is>
          <t>1. Type a work experience entry but do NOT press Completed.
2. Close the browser tab.
3. Sign in again and open the CV builder.</t>
        </is>
      </c>
      <c r="H22" s="6" t="inlineStr">
        <is>
          <t>-</t>
        </is>
      </c>
      <c r="I22" s="6" t="inlineStr">
        <is>
          <t>What you typed is still there — the builder saves a draft as you go.
Losing a half-typed work history is a Fail.</t>
        </is>
      </c>
      <c r="J22" s="20" t="inlineStr"/>
      <c r="K22" s="21" t="inlineStr"/>
      <c r="L22" s="20" t="inlineStr"/>
      <c r="M22" s="21" t="inlineStr"/>
      <c r="N22" s="20" t="inlineStr"/>
    </row>
    <row r="23" ht="40.5" customHeight="1">
      <c r="A23" s="22" t="inlineStr">
        <is>
          <t>JS-05-20</t>
        </is>
      </c>
      <c r="B23" s="23" t="inlineStr">
        <is>
          <t>Build a CV</t>
        </is>
      </c>
      <c r="C23" s="23" t="inlineStr">
        <is>
          <t>A built CV produces a PDF you can download</t>
        </is>
      </c>
      <c r="D23" s="18" t="inlineStr">
        <is>
          <t>Positive</t>
        </is>
      </c>
      <c r="E23" s="19" t="inlineStr">
        <is>
          <t>High</t>
        </is>
      </c>
      <c r="F23" s="23" t="inlineStr">
        <is>
          <t>You finished a CV in the builder.</t>
        </is>
      </c>
      <c r="G23" s="23" t="inlineStr">
        <is>
          <t>1. Go to My CVs.
2. Download that CV.
3. Open the file.</t>
        </is>
      </c>
      <c r="H23" s="23" t="inlineStr">
        <is>
          <t>-</t>
        </is>
      </c>
      <c r="I23" s="23" t="inlineStr">
        <is>
          <t>A readable PDF is produced with your CV content in the chosen template.</t>
        </is>
      </c>
      <c r="J23" s="20" t="inlineStr"/>
      <c r="K23" s="21" t="inlineStr"/>
      <c r="L23" s="20" t="inlineStr"/>
      <c r="M23" s="21" t="inlineStr"/>
      <c r="N23" s="20" t="inlineStr"/>
    </row>
    <row r="24" ht="54" customHeight="1">
      <c r="A24" s="17" t="inlineStr">
        <is>
          <t>JS-05-21</t>
        </is>
      </c>
      <c r="B24" s="6" t="inlineStr">
        <is>
          <t>Build a CV</t>
        </is>
      </c>
      <c r="C24" s="6" t="inlineStr">
        <is>
          <t>Optional sections can be added and removed from the right-hand rail</t>
        </is>
      </c>
      <c r="D24" s="18" t="inlineStr">
        <is>
          <t>Positive</t>
        </is>
      </c>
      <c r="E24" s="24" t="inlineStr">
        <is>
          <t>Medium</t>
        </is>
      </c>
      <c r="F24" s="6" t="inlineStr">
        <is>
          <t>You are in the CV builder.</t>
        </is>
      </c>
      <c r="G24" s="6" t="inlineStr">
        <is>
          <t>1. In the right rail, add 'Foreign Language'.
2. Add 'Highlight projects'.
3. Fill each one in.
4. Remove 'Highlight projects' again.</t>
        </is>
      </c>
      <c r="H24" s="6" t="inlineStr">
        <is>
          <t>-</t>
        </is>
      </c>
      <c r="I24" s="6" t="inlineStr">
        <is>
          <t>Optional sections appear and disappear as you add / remove them.
Each one shows its own real form (a date box, a select, a text box) — not a generic box.
The available set is: Foreign Language, Highlight projects, Certificates, Awards, Activities, References.</t>
        </is>
      </c>
      <c r="J24" s="20" t="inlineStr"/>
      <c r="K24" s="21" t="inlineStr"/>
      <c r="L24" s="20" t="inlineStr"/>
      <c r="M24" s="21" t="inlineStr"/>
      <c r="N24" s="20" t="inlineStr"/>
    </row>
    <row r="25" ht="67.5" customHeight="1">
      <c r="A25" s="22" t="inlineStr">
        <is>
          <t>JS-05-22</t>
        </is>
      </c>
      <c r="B25" s="23" t="inlineStr">
        <is>
          <t>Completeness</t>
        </is>
      </c>
      <c r="C25" s="23" t="inlineStr">
        <is>
          <t>The completeness meter rises as you fill sections and never blocks you</t>
        </is>
      </c>
      <c r="D25" s="18" t="inlineStr">
        <is>
          <t>Positive</t>
        </is>
      </c>
      <c r="E25" s="19" t="inlineStr">
        <is>
          <t>High</t>
        </is>
      </c>
      <c r="F25" s="23" t="inlineStr">
        <is>
          <t>You have a CV with only Education filled in.</t>
        </is>
      </c>
      <c r="G25" s="23" t="inlineStr">
        <is>
          <t>1. Write down the completeness percentage.
2. Add Work experience. Write it down again.
3. Add Skills. Write it down again.
4. Add About. Write it down again.
5. Try to apply to a job with this CV.</t>
        </is>
      </c>
      <c r="H25" s="23" t="inlineStr">
        <is>
          <t>-</t>
        </is>
      </c>
      <c r="I25" s="23" t="inlineStr">
        <is>
          <t>The percentage goes UP each time (work experience is the biggest jump, then skills, then education, then about).
At no point does a low percentage stop you from applying.</t>
        </is>
      </c>
      <c r="J25" s="20" t="inlineStr"/>
      <c r="K25" s="21" t="inlineStr"/>
      <c r="L25" s="20" t="inlineStr"/>
      <c r="M25" s="21" t="inlineStr"/>
      <c r="N25" s="20" t="inlineStr"/>
    </row>
    <row r="26" ht="28" customHeight="1">
      <c r="A26" s="17" t="inlineStr">
        <is>
          <t>JS-05-23</t>
        </is>
      </c>
      <c r="B26" s="6" t="inlineStr">
        <is>
          <t>Visibility</t>
        </is>
      </c>
      <c r="C26" s="6" t="inlineStr">
        <is>
          <t>A brand-new CV is not visible to employers until you agree</t>
        </is>
      </c>
      <c r="D26" s="18" t="inlineStr">
        <is>
          <t>Positive</t>
        </is>
      </c>
      <c r="E26" s="19" t="inlineStr">
        <is>
          <t>High</t>
        </is>
      </c>
      <c r="F26" s="6" t="inlineStr">
        <is>
          <t>You just created a CV and never touched the visibility control.</t>
        </is>
      </c>
      <c r="G26" s="6" t="inlineStr">
        <is>
          <t>1. Look at the visibility setting for the new CV / the account.
2. Ask a tester with a Company account (with CV-search entitlement) to search for your candidate details.</t>
        </is>
      </c>
      <c r="H26" s="6" t="inlineStr">
        <is>
          <t>-</t>
        </is>
      </c>
      <c r="I26" s="6" t="inlineStr">
        <is>
          <t>Visibility is at the safer value by default — you were asked to choose, it was never switched on for you.
The company tester cannot find you until you turn it on.</t>
        </is>
      </c>
      <c r="J26" s="20" t="inlineStr"/>
      <c r="K26" s="21" t="inlineStr"/>
      <c r="L26" s="20" t="inlineStr"/>
      <c r="M26" s="21" t="inlineStr"/>
      <c r="N26" s="20" t="inlineStr"/>
    </row>
    <row r="27" ht="40.5" customHeight="1">
      <c r="A27" s="22" t="inlineStr">
        <is>
          <t>JS-05-24</t>
        </is>
      </c>
      <c r="B27" s="23" t="inlineStr">
        <is>
          <t>Replace a CV</t>
        </is>
      </c>
      <c r="C27" s="23" t="inlineStr">
        <is>
          <t>Replacing a CV keeps one record and does not break old applications</t>
        </is>
      </c>
      <c r="D27" s="26" t="inlineStr">
        <is>
          <t>Edge</t>
        </is>
      </c>
      <c r="E27" s="19" t="inlineStr">
        <is>
          <t>High</t>
        </is>
      </c>
      <c r="F27" s="23" t="inlineStr">
        <is>
          <t>You have applied to a job using CV 'A'. You have a second PDF ready.</t>
        </is>
      </c>
      <c r="G27" s="23" t="inlineStr">
        <is>
          <t>1. In My CVs, use Replace on CV 'A' and pick the new file.
2. Look at the CV list.
3. Go to My applications and open the application that used CV 'A'.</t>
        </is>
      </c>
      <c r="H27" s="23" t="inlineStr">
        <is>
          <t>A second CV PDF</t>
        </is>
      </c>
      <c r="I27" s="23" t="inlineStr">
        <is>
          <t>My CVs still shows ONE CV, not two.
The application still opens and still shows the CV that was actually sent (the old version), not the new file.</t>
        </is>
      </c>
      <c r="J27" s="20" t="inlineStr"/>
      <c r="K27" s="21" t="inlineStr"/>
      <c r="L27" s="20" t="inlineStr"/>
      <c r="M27" s="21" t="inlineStr"/>
      <c r="N27" s="20" t="inlineStr"/>
    </row>
    <row r="28" ht="40.5" customHeight="1">
      <c r="A28" s="17" t="inlineStr">
        <is>
          <t>JS-05-25</t>
        </is>
      </c>
      <c r="B28" s="6" t="inlineStr">
        <is>
          <t>CV limit</t>
        </is>
      </c>
      <c r="C28" s="6" t="inlineStr">
        <is>
          <t>You cannot have more than 3 CVs</t>
        </is>
      </c>
      <c r="D28" s="25" t="inlineStr">
        <is>
          <t>Negative</t>
        </is>
      </c>
      <c r="E28" s="19" t="inlineStr">
        <is>
          <t>High</t>
        </is>
      </c>
      <c r="F28" s="6" t="inlineStr">
        <is>
          <t>You already have 3 CVs in My CVs.</t>
        </is>
      </c>
      <c r="G28" s="6" t="inlineStr">
        <is>
          <t>1. Click '+ Add new CV'.
2. Try to add a 4th.</t>
        </is>
      </c>
      <c r="H28" s="6" t="inlineStr">
        <is>
          <t>-</t>
        </is>
      </c>
      <c r="I28" s="6" t="inlineStr">
        <is>
          <t>The 4th CV is not created.
A clear message explains the limit of 3 and what your choices are (delete or replace one).
Write in Notes exactly what the system offers — the team has an open question here.</t>
        </is>
      </c>
      <c r="J28" s="20" t="inlineStr"/>
      <c r="K28" s="21" t="inlineStr"/>
      <c r="L28" s="20" t="inlineStr"/>
      <c r="M28" s="21" t="inlineStr"/>
      <c r="N28" s="20" t="inlineStr"/>
    </row>
    <row r="29" ht="40.5" customHeight="1">
      <c r="A29" s="22" t="inlineStr">
        <is>
          <t>JS-05-26</t>
        </is>
      </c>
      <c r="B29" s="23" t="inlineStr">
        <is>
          <t>Extraction</t>
        </is>
      </c>
      <c r="C29" s="23" t="inlineStr">
        <is>
          <t>If reading the CV fails, the CV is still saved and usable</t>
        </is>
      </c>
      <c r="D29" s="26" t="inlineStr">
        <is>
          <t>Edge</t>
        </is>
      </c>
      <c r="E29" s="19" t="inlineStr">
        <is>
          <t>High</t>
        </is>
      </c>
      <c r="F29" s="23" t="inlineStr">
        <is>
          <t>You have a CV PDF that is a scanned image (text cannot be selected in it).</t>
        </is>
      </c>
      <c r="G29" s="23" t="inlineStr">
        <is>
          <t>1. Upload it.
2. Accept the convert offer.
3. Wait for the result.</t>
        </is>
      </c>
      <c r="H29" s="23" t="inlineStr">
        <is>
          <t>a scanned / photographed CV PDF</t>
        </is>
      </c>
      <c r="I29" s="23" t="inlineStr">
        <is>
          <t>The CV is still saved and can be used to apply.
The screen explains that the details could not be read and asks you for the few fields it needs.
You are never left with nothing.</t>
        </is>
      </c>
      <c r="J29" s="20" t="inlineStr"/>
      <c r="K29" s="21" t="inlineStr"/>
      <c r="L29" s="20" t="inlineStr"/>
      <c r="M29" s="21" t="inlineStr"/>
      <c r="N29" s="20" t="inlineStr"/>
    </row>
    <row r="30" ht="40.5" customHeight="1">
      <c r="A30" s="17" t="inlineStr">
        <is>
          <t>JS-05-27</t>
        </is>
      </c>
      <c r="B30" s="6" t="inlineStr">
        <is>
          <t>Extraction</t>
        </is>
      </c>
      <c r="C30" s="6" t="inlineStr">
        <is>
          <t>An answer you typed is not overwritten by a later re-read of the CV</t>
        </is>
      </c>
      <c r="D30" s="26" t="inlineStr">
        <is>
          <t>Edge</t>
        </is>
      </c>
      <c r="E30" s="19" t="inlineStr">
        <is>
          <t>High</t>
        </is>
      </c>
      <c r="F30" s="6" t="inlineStr">
        <is>
          <t>You corrected an extracted field (for example a job title) on the compare screen and saved.</t>
        </is>
      </c>
      <c r="G30" s="6" t="inlineStr">
        <is>
          <t>1. Note the value you typed.
2. Trigger 'Fill profile from CV' / re-parse on the same CV.
3. Look at the field you corrected.</t>
        </is>
      </c>
      <c r="H30" s="6" t="inlineStr">
        <is>
          <t>-</t>
        </is>
      </c>
      <c r="I30" s="6" t="inlineStr">
        <is>
          <t>Your typed value is still there, OR a change is proposed for you to accept.
It is never silently replaced.</t>
        </is>
      </c>
      <c r="J30" s="20" t="inlineStr"/>
      <c r="K30" s="21" t="inlineStr"/>
      <c r="L30" s="20" t="inlineStr"/>
      <c r="M30" s="21" t="inlineStr"/>
      <c r="N30" s="20" t="inlineStr"/>
    </row>
    <row r="31" ht="40.5" customHeight="1">
      <c r="A31" s="22" t="inlineStr">
        <is>
          <t>JS-05-28</t>
        </is>
      </c>
      <c r="B31" s="23" t="inlineStr">
        <is>
          <t>Create CV</t>
        </is>
      </c>
      <c r="C31" s="23" t="inlineStr">
        <is>
          <t>Creating a CV during Apply sends you back to the job</t>
        </is>
      </c>
      <c r="D31" s="18" t="inlineStr">
        <is>
          <t>Positive</t>
        </is>
      </c>
      <c r="E31" s="19" t="inlineStr">
        <is>
          <t>High</t>
        </is>
      </c>
      <c r="F31" s="23" t="inlineStr">
        <is>
          <t>You are signed in with NO CV. You are on an Open job detail page.</t>
        </is>
      </c>
      <c r="G31" s="23" t="inlineStr">
        <is>
          <t>1. Click 'Apply now'.
2. Follow the route to create / upload a CV.
3. Finish the CV.</t>
        </is>
      </c>
      <c r="H31" s="23" t="inlineStr">
        <is>
          <t>-</t>
        </is>
      </c>
      <c r="I31" s="23" t="inlineStr">
        <is>
          <t>After finishing you are taken BACK to the apply screen for the same job, with the new CV already selected.
You do not have to find the job again.</t>
        </is>
      </c>
      <c r="J31" s="20" t="inlineStr"/>
      <c r="K31" s="21" t="inlineStr"/>
      <c r="L31" s="20" t="inlineStr"/>
      <c r="M31" s="21" t="inlineStr"/>
      <c r="N31" s="20" t="inlineStr"/>
    </row>
  </sheetData>
  <autoFilter ref="A3:N31"/>
  <mergeCells count="2">
    <mergeCell ref="A2:N2"/>
    <mergeCell ref="A1:N1"/>
  </mergeCells>
  <dataValidations count="1">
    <dataValidation sqref="K4:K31"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JS-06 · My CVs — which CV is searchable, visibility, delete, rename</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JS-06-01</t>
        </is>
      </c>
      <c r="B4" s="6" t="inlineStr">
        <is>
          <t>My CVs</t>
        </is>
      </c>
      <c r="C4" s="6" t="inlineStr">
        <is>
          <t>My CVs opens with the profile summary above the CV list</t>
        </is>
      </c>
      <c r="D4" s="18" t="inlineStr">
        <is>
          <t>Positive</t>
        </is>
      </c>
      <c r="E4" s="19" t="inlineStr">
        <is>
          <t>High</t>
        </is>
      </c>
      <c r="F4" s="6" t="inlineStr">
        <is>
          <t>You are signed in with at least one CV and completed onboarding.</t>
        </is>
      </c>
      <c r="G4" s="6" t="inlineStr">
        <is>
          <t>1. Go to My account → My CVs.
2. Read the top of the page.</t>
        </is>
      </c>
      <c r="H4" s="6" t="inlineStr">
        <is>
          <t>-</t>
        </is>
      </c>
      <c r="I4" s="6" t="inlineStr">
        <is>
          <t>A profile summary is shown first: name, visibility badge, contact, desired job / level / locations / industries / salary, experience, education, availability.
Counters are shown too: proposals received, CV views, applications sent.
The CV list is below it.</t>
        </is>
      </c>
      <c r="J4" s="20" t="inlineStr"/>
      <c r="K4" s="21" t="inlineStr"/>
      <c r="L4" s="20" t="inlineStr"/>
      <c r="M4" s="21" t="inlineStr"/>
      <c r="N4" s="20" t="inlineStr"/>
    </row>
    <row r="5" ht="28" customHeight="1">
      <c r="A5" s="22" t="inlineStr">
        <is>
          <t>JS-06-02</t>
        </is>
      </c>
      <c r="B5" s="23" t="inlineStr">
        <is>
          <t>My CVs</t>
        </is>
      </c>
      <c r="C5" s="23" t="inlineStr">
        <is>
          <t>Each CV row shows its name and what kind of CV it is</t>
        </is>
      </c>
      <c r="D5" s="18" t="inlineStr">
        <is>
          <t>Positive</t>
        </is>
      </c>
      <c r="E5" s="19" t="inlineStr">
        <is>
          <t>High</t>
        </is>
      </c>
      <c r="F5" s="23" t="inlineStr">
        <is>
          <t>You have one uploaded PDF CV and one built Saramin CV.</t>
        </is>
      </c>
      <c r="G5" s="23" t="inlineStr">
        <is>
          <t>1. Look at both rows in the CV list.</t>
        </is>
      </c>
      <c r="H5" s="23" t="inlineStr">
        <is>
          <t>-</t>
        </is>
      </c>
      <c r="I5" s="23" t="inlineStr">
        <is>
          <t>Each row shows the CV NAME (for example 'Product Designer CV') and a tag saying 'Uploaded PDF' or 'Saramin template'.
Both are shown as the same kind of item, at the same level.</t>
        </is>
      </c>
      <c r="J5" s="20" t="inlineStr"/>
      <c r="K5" s="21" t="inlineStr"/>
      <c r="L5" s="20" t="inlineStr"/>
      <c r="M5" s="21" t="inlineStr"/>
      <c r="N5" s="20" t="inlineStr"/>
    </row>
    <row r="6" ht="40.5" customHeight="1">
      <c r="A6" s="17" t="inlineStr">
        <is>
          <t>JS-06-03</t>
        </is>
      </c>
      <c r="B6" s="6" t="inlineStr">
        <is>
          <t>My CVs</t>
        </is>
      </c>
      <c r="C6" s="6" t="inlineStr">
        <is>
          <t>Only 'View as employer' is a direct link; everything else is behind the ⋯ menu</t>
        </is>
      </c>
      <c r="D6" s="18" t="inlineStr">
        <is>
          <t>Positive</t>
        </is>
      </c>
      <c r="E6" s="24" t="inlineStr">
        <is>
          <t>Medium</t>
        </is>
      </c>
      <c r="F6" s="6" t="inlineStr">
        <is>
          <t>You are on My CVs with at least one CV.</t>
        </is>
      </c>
      <c r="G6" s="6" t="inlineStr">
        <is>
          <t>1. Look at the CV row.
2. Open the ⋯ button at the top-right of the row.</t>
        </is>
      </c>
      <c r="H6" s="6" t="inlineStr">
        <is>
          <t>-</t>
        </is>
      </c>
      <c r="I6" s="6" t="inlineStr">
        <is>
          <t>'View as employer' is a text link under the CV name.
Download, Rename, Delete (in red) and the 'Cho nhà tuyển dụng tìm thấy' switch are all inside the ⋯ menu.
Delete is NOT sitting next to View where it could be clicked by mistake.</t>
        </is>
      </c>
      <c r="J6" s="20" t="inlineStr"/>
      <c r="K6" s="21" t="inlineStr"/>
      <c r="L6" s="20" t="inlineStr"/>
      <c r="M6" s="21" t="inlineStr"/>
      <c r="N6" s="20" t="inlineStr"/>
    </row>
    <row r="7" ht="40.5" customHeight="1">
      <c r="A7" s="22" t="inlineStr">
        <is>
          <t>JS-06-04</t>
        </is>
      </c>
      <c r="B7" s="23" t="inlineStr">
        <is>
          <t>Searchable CV</t>
        </is>
      </c>
      <c r="C7" s="23" t="inlineStr">
        <is>
          <t>Turning the searchable switch ON for one CV turns it OFF for the others</t>
        </is>
      </c>
      <c r="D7" s="18" t="inlineStr">
        <is>
          <t>Positive</t>
        </is>
      </c>
      <c r="E7" s="19" t="inlineStr">
        <is>
          <t>High</t>
        </is>
      </c>
      <c r="F7" s="23" t="inlineStr">
        <is>
          <t>You have 2 or 3 CVs and CV A is currently the searchable one.</t>
        </is>
      </c>
      <c r="G7" s="23" t="inlineStr">
        <is>
          <t>1. Note which CV shows the 'Đang hiển thị' badge.
2. Open the ⋯ menu on CV B and turn the searchable switch ON.
3. Look at both rows.</t>
        </is>
      </c>
      <c r="H7" s="23" t="inlineStr">
        <is>
          <t>-</t>
        </is>
      </c>
      <c r="I7" s="23" t="inlineStr">
        <is>
          <t>CV B becomes the searchable one and shows the 'Đang hiển thị' badge.
CV A is switched off automatically.
Exactly ONE CV is searchable at any time.</t>
        </is>
      </c>
      <c r="J7" s="20" t="inlineStr"/>
      <c r="K7" s="21" t="inlineStr"/>
      <c r="L7" s="20" t="inlineStr"/>
      <c r="M7" s="21" t="inlineStr"/>
      <c r="N7" s="20" t="inlineStr"/>
    </row>
    <row r="8" ht="28" customHeight="1">
      <c r="A8" s="17" t="inlineStr">
        <is>
          <t>JS-06-05</t>
        </is>
      </c>
      <c r="B8" s="6" t="inlineStr">
        <is>
          <t>Searchable CV</t>
        </is>
      </c>
      <c r="C8" s="6" t="inlineStr">
        <is>
          <t>The helper line explains that other CVs can still be used to apply</t>
        </is>
      </c>
      <c r="D8" s="18" t="inlineStr">
        <is>
          <t>Positive</t>
        </is>
      </c>
      <c r="E8" s="24" t="inlineStr">
        <is>
          <t>Medium</t>
        </is>
      </c>
      <c r="F8" s="6" t="inlineStr">
        <is>
          <t>You have the ⋯ menu open on a CV.</t>
        </is>
      </c>
      <c r="G8" s="6" t="inlineStr">
        <is>
          <t>1. Read the text under the searchable switch.</t>
        </is>
      </c>
      <c r="H8" s="6" t="inlineStr">
        <is>
          <t>-</t>
        </is>
      </c>
      <c r="I8" s="6" t="inlineStr">
        <is>
          <t>It says something equivalent to 'Chỉ 1 CV được tìm thấy. Các CV khác vẫn ứng tuyển được.' — only one CV is found by employers, the others can still be used to apply.</t>
        </is>
      </c>
      <c r="J8" s="20" t="inlineStr"/>
      <c r="K8" s="21" t="inlineStr"/>
      <c r="L8" s="20" t="inlineStr"/>
      <c r="M8" s="21" t="inlineStr"/>
      <c r="N8" s="20" t="inlineStr"/>
    </row>
    <row r="9" ht="28" customHeight="1">
      <c r="A9" s="22" t="inlineStr">
        <is>
          <t>JS-06-06</t>
        </is>
      </c>
      <c r="B9" s="23" t="inlineStr">
        <is>
          <t>View as employer</t>
        </is>
      </c>
      <c r="C9" s="23" t="inlineStr">
        <is>
          <t>'View as employer' shows what an employer would actually see</t>
        </is>
      </c>
      <c r="D9" s="18" t="inlineStr">
        <is>
          <t>Positive</t>
        </is>
      </c>
      <c r="E9" s="24" t="inlineStr">
        <is>
          <t>Medium</t>
        </is>
      </c>
      <c r="F9" s="23" t="inlineStr">
        <is>
          <t>You have a CV.</t>
        </is>
      </c>
      <c r="G9" s="23" t="inlineStr">
        <is>
          <t>1. Click 'View as employer' on a CV row.</t>
        </is>
      </c>
      <c r="H9" s="23" t="inlineStr">
        <is>
          <t>-</t>
        </is>
      </c>
      <c r="I9" s="23" t="inlineStr">
        <is>
          <t>A preview opens showing the CV the way an employer sees it.
There are no surprises about layout or which fields are visible.</t>
        </is>
      </c>
      <c r="J9" s="20" t="inlineStr"/>
      <c r="K9" s="21" t="inlineStr"/>
      <c r="L9" s="20" t="inlineStr"/>
      <c r="M9" s="21" t="inlineStr"/>
      <c r="N9" s="20" t="inlineStr"/>
    </row>
    <row r="10" ht="40.5" customHeight="1">
      <c r="A10" s="17" t="inlineStr">
        <is>
          <t>JS-06-07</t>
        </is>
      </c>
      <c r="B10" s="6" t="inlineStr">
        <is>
          <t>Visibility</t>
        </is>
      </c>
      <c r="C10" s="6" t="inlineStr">
        <is>
          <t>Setting visibility to Hidden removes you from employer CV search immediately</t>
        </is>
      </c>
      <c r="D10" s="18" t="inlineStr">
        <is>
          <t>Positive</t>
        </is>
      </c>
      <c r="E10" s="19" t="inlineStr">
        <is>
          <t>High</t>
        </is>
      </c>
      <c r="F10" s="6" t="inlineStr">
        <is>
          <t>Your visibility is Discoverable. A tester with a Company account that has CV-search entitlement can search and find you.</t>
        </is>
      </c>
      <c r="G10" s="6" t="inlineStr">
        <is>
          <t>1. Ask the company tester to search and confirm they can see your locked preview. Screenshot it.
2. Set your visibility to Hidden and confirm.
3. Ask the company tester to run the SAME search again straight away (no waiting, no re-index).</t>
        </is>
      </c>
      <c r="H10" s="6" t="inlineStr">
        <is>
          <t>-</t>
        </is>
      </c>
      <c r="I10" s="6" t="inlineStr">
        <is>
          <t>You disappear from the results immediately — including from the result COUNT, not just from the visible rows.
If you are still counted or listed, mark Fail.</t>
        </is>
      </c>
      <c r="J10" s="20" t="inlineStr"/>
      <c r="K10" s="21" t="inlineStr"/>
      <c r="L10" s="20" t="inlineStr"/>
      <c r="M10" s="21" t="inlineStr"/>
      <c r="N10" s="20" t="inlineStr"/>
    </row>
    <row r="11" ht="28" customHeight="1">
      <c r="A11" s="22" t="inlineStr">
        <is>
          <t>JS-06-08</t>
        </is>
      </c>
      <c r="B11" s="23" t="inlineStr">
        <is>
          <t>Visibility</t>
        </is>
      </c>
      <c r="C11" s="23" t="inlineStr">
        <is>
          <t>The confirmation says exactly what stops and what does not</t>
        </is>
      </c>
      <c r="D11" s="18" t="inlineStr">
        <is>
          <t>Positive</t>
        </is>
      </c>
      <c r="E11" s="19" t="inlineStr">
        <is>
          <t>High</t>
        </is>
      </c>
      <c r="F11" s="23" t="inlineStr">
        <is>
          <t>You are about to switch visibility to Hidden.</t>
        </is>
      </c>
      <c r="G11" s="23" t="inlineStr">
        <is>
          <t>1. Click the visibility control.
2. Read the confirmation text before pressing confirm.</t>
        </is>
      </c>
      <c r="H11" s="23" t="inlineStr">
        <is>
          <t>-</t>
        </is>
      </c>
      <c r="I11" s="23" t="inlineStr">
        <is>
          <t>It states that employers can no longer discover you, AND that applications you already sent are NOT withdrawn.
Both halves must be there — 'hide me' is easily misread as 'take everything back'.</t>
        </is>
      </c>
      <c r="J11" s="20" t="inlineStr"/>
      <c r="K11" s="21" t="inlineStr"/>
      <c r="L11" s="20" t="inlineStr"/>
      <c r="M11" s="21" t="inlineStr"/>
      <c r="N11" s="20" t="inlineStr"/>
    </row>
    <row r="12" ht="28" customHeight="1">
      <c r="A12" s="17" t="inlineStr">
        <is>
          <t>JS-06-09</t>
        </is>
      </c>
      <c r="B12" s="6" t="inlineStr">
        <is>
          <t>Visibility</t>
        </is>
      </c>
      <c r="C12" s="6" t="inlineStr">
        <is>
          <t>Hidden does not affect applications already sent</t>
        </is>
      </c>
      <c r="D12" s="26" t="inlineStr">
        <is>
          <t>Edge</t>
        </is>
      </c>
      <c r="E12" s="19" t="inlineStr">
        <is>
          <t>High</t>
        </is>
      </c>
      <c r="F12" s="6" t="inlineStr">
        <is>
          <t>You applied to a job, then set visibility to Hidden.</t>
        </is>
      </c>
      <c r="G12" s="6" t="inlineStr">
        <is>
          <t>1. Ask the company tester to open their applicant list for that job.</t>
        </is>
      </c>
      <c r="H12" s="6" t="inlineStr">
        <is>
          <t>-</t>
        </is>
      </c>
      <c r="I12" s="6" t="inlineStr">
        <is>
          <t>Your application is still on the employer's board with the CV attached.
Hiding your profile does not pull back an application already delivered.</t>
        </is>
      </c>
      <c r="J12" s="20" t="inlineStr"/>
      <c r="K12" s="21" t="inlineStr"/>
      <c r="L12" s="20" t="inlineStr"/>
      <c r="M12" s="21" t="inlineStr"/>
      <c r="N12" s="20" t="inlineStr"/>
    </row>
    <row r="13" ht="28" customHeight="1">
      <c r="A13" s="22" t="inlineStr">
        <is>
          <t>JS-06-10</t>
        </is>
      </c>
      <c r="B13" s="23" t="inlineStr">
        <is>
          <t>Unlock history</t>
        </is>
      </c>
      <c r="C13" s="23" t="inlineStr">
        <is>
          <t>You can see which companies unlocked your CV and when</t>
        </is>
      </c>
      <c r="D13" s="18" t="inlineStr">
        <is>
          <t>Positive</t>
        </is>
      </c>
      <c r="E13" s="24" t="inlineStr">
        <is>
          <t>Medium</t>
        </is>
      </c>
      <c r="F13" s="23" t="inlineStr">
        <is>
          <t>A company tester has spent an unlock on your CV.</t>
        </is>
      </c>
      <c r="G13" s="23" t="inlineStr">
        <is>
          <t>1. Go to My CVs.
2. Open the unlock history.</t>
        </is>
      </c>
      <c r="H13" s="23" t="inlineStr">
        <is>
          <t>-</t>
        </is>
      </c>
      <c r="I13" s="23" t="inlineStr">
        <is>
          <t>The company name and the date / time of the unlock are listed.
The list is read-only.</t>
        </is>
      </c>
      <c r="J13" s="20" t="inlineStr"/>
      <c r="K13" s="21" t="inlineStr"/>
      <c r="L13" s="20" t="inlineStr"/>
      <c r="M13" s="21" t="inlineStr"/>
      <c r="N13" s="20" t="inlineStr"/>
    </row>
    <row r="14" ht="67.5" customHeight="1">
      <c r="A14" s="17" t="inlineStr">
        <is>
          <t>JS-06-11</t>
        </is>
      </c>
      <c r="B14" s="6" t="inlineStr">
        <is>
          <t>Delete CV</t>
        </is>
      </c>
      <c r="C14" s="6" t="inlineStr">
        <is>
          <t>Deleting a CV asks you to confirm and explains what it does NOT do</t>
        </is>
      </c>
      <c r="D14" s="25" t="inlineStr">
        <is>
          <t>Negative</t>
        </is>
      </c>
      <c r="E14" s="19" t="inlineStr">
        <is>
          <t>High</t>
        </is>
      </c>
      <c r="F14" s="6" t="inlineStr">
        <is>
          <t>You have 2 CVs and have applied to a job with one of them.</t>
        </is>
      </c>
      <c r="G14" s="6" t="inlineStr">
        <is>
          <t>1. Open ⋯ on the CV you applied with.
2. Click Delete.
3. Read the confirmation.
4. Confirm.
5. Go to My applications and open that application.</t>
        </is>
      </c>
      <c r="H14" s="6" t="inlineStr">
        <is>
          <t>-</t>
        </is>
      </c>
      <c r="I14" s="6" t="inlineStr">
        <is>
          <t>The confirmation explains that CVs already sent with applications are NOT withdrawn.
After deleting, the old application still opens and still shows the CV that was sent.</t>
        </is>
      </c>
      <c r="J14" s="20" t="inlineStr"/>
      <c r="K14" s="21" t="inlineStr"/>
      <c r="L14" s="20" t="inlineStr"/>
      <c r="M14" s="21" t="inlineStr"/>
      <c r="N14" s="20" t="inlineStr"/>
    </row>
    <row r="15" ht="54" customHeight="1">
      <c r="A15" s="22" t="inlineStr">
        <is>
          <t>JS-06-12</t>
        </is>
      </c>
      <c r="B15" s="23" t="inlineStr">
        <is>
          <t>Delete CV</t>
        </is>
      </c>
      <c r="C15" s="23" t="inlineStr">
        <is>
          <t>Deleting your LAST CV warns you that quick apply will stop working</t>
        </is>
      </c>
      <c r="D15" s="26" t="inlineStr">
        <is>
          <t>Edge</t>
        </is>
      </c>
      <c r="E15" s="24" t="inlineStr">
        <is>
          <t>Medium</t>
        </is>
      </c>
      <c r="F15" s="23" t="inlineStr">
        <is>
          <t>You have exactly one CV.</t>
        </is>
      </c>
      <c r="G15" s="23" t="inlineStr">
        <is>
          <t>1. Delete it.
2. Read the warning.
3. Confirm.
4. Open a job and click Apply.</t>
        </is>
      </c>
      <c r="H15" s="23" t="inlineStr">
        <is>
          <t>-</t>
        </is>
      </c>
      <c r="I15" s="23" t="inlineStr">
        <is>
          <t>The warning says quick apply will stop working until you add another CV.
Deleting is still allowed.
Applying now routes you to create a CV first.</t>
        </is>
      </c>
      <c r="J15" s="20" t="inlineStr"/>
      <c r="K15" s="21" t="inlineStr"/>
      <c r="L15" s="20" t="inlineStr"/>
      <c r="M15" s="21" t="inlineStr"/>
      <c r="N15" s="20" t="inlineStr"/>
    </row>
    <row r="16" ht="54" customHeight="1">
      <c r="A16" s="17" t="inlineStr">
        <is>
          <t>JS-06-13</t>
        </is>
      </c>
      <c r="B16" s="6" t="inlineStr">
        <is>
          <t>Rename CV</t>
        </is>
      </c>
      <c r="C16" s="6" t="inlineStr">
        <is>
          <t>Renaming a CV changes the label everywhere it appears</t>
        </is>
      </c>
      <c r="D16" s="18" t="inlineStr">
        <is>
          <t>Positive</t>
        </is>
      </c>
      <c r="E16" s="27" t="inlineStr">
        <is>
          <t>Low</t>
        </is>
      </c>
      <c r="F16" s="6" t="inlineStr">
        <is>
          <t>You have a CV.</t>
        </is>
      </c>
      <c r="G16" s="6" t="inlineStr">
        <is>
          <t>1. Open ⋯ → Rename.
2. Change the name to 'Sales CV 2026'.
3. Save.
4. Open a job and start an apply.</t>
        </is>
      </c>
      <c r="H16" s="6" t="inlineStr">
        <is>
          <t>New name: Sales CV 2026</t>
        </is>
      </c>
      <c r="I16" s="6" t="inlineStr">
        <is>
          <t>The new name is shown in My CVs AND in the CV picker inside the apply screen.</t>
        </is>
      </c>
      <c r="J16" s="20" t="inlineStr"/>
      <c r="K16" s="21" t="inlineStr"/>
      <c r="L16" s="20" t="inlineStr"/>
      <c r="M16" s="21" t="inlineStr"/>
      <c r="N16" s="20" t="inlineStr"/>
    </row>
    <row r="17" ht="40.5" customHeight="1">
      <c r="A17" s="22" t="inlineStr">
        <is>
          <t>JS-06-14</t>
        </is>
      </c>
      <c r="B17" s="23" t="inlineStr">
        <is>
          <t>Download CV</t>
        </is>
      </c>
      <c r="C17" s="23" t="inlineStr">
        <is>
          <t>Download gives exactly the file an employer would receive</t>
        </is>
      </c>
      <c r="D17" s="18" t="inlineStr">
        <is>
          <t>Positive</t>
        </is>
      </c>
      <c r="E17" s="24" t="inlineStr">
        <is>
          <t>Medium</t>
        </is>
      </c>
      <c r="F17" s="23" t="inlineStr">
        <is>
          <t>You have a CV.</t>
        </is>
      </c>
      <c r="G17" s="23" t="inlineStr">
        <is>
          <t>1. Open ⋯ → Download.
2. Open the file.
3. Compare it with 'View as employer'.</t>
        </is>
      </c>
      <c r="H17" s="23" t="inlineStr">
        <is>
          <t>-</t>
        </is>
      </c>
      <c r="I17" s="23" t="inlineStr">
        <is>
          <t>The downloaded file matches what the employer sees — there is no difference in presentation.</t>
        </is>
      </c>
      <c r="J17" s="20" t="inlineStr"/>
      <c r="K17" s="21" t="inlineStr"/>
      <c r="L17" s="20" t="inlineStr"/>
      <c r="M17" s="21" t="inlineStr"/>
      <c r="N17" s="20" t="inlineStr"/>
    </row>
    <row r="18" ht="40.5" customHeight="1">
      <c r="A18" s="17" t="inlineStr">
        <is>
          <t>JS-06-15</t>
        </is>
      </c>
      <c r="B18" s="6" t="inlineStr">
        <is>
          <t>Security</t>
        </is>
      </c>
      <c r="C18" s="6" t="inlineStr">
        <is>
          <t>You cannot open another candidate's CV</t>
        </is>
      </c>
      <c r="D18" s="25" t="inlineStr">
        <is>
          <t>Negative</t>
        </is>
      </c>
      <c r="E18" s="19" t="inlineStr">
        <is>
          <t>High</t>
        </is>
      </c>
      <c r="F18" s="6" t="inlineStr">
        <is>
          <t>You have two test jobseeker accounts, A and B. Account B has a CV. Ask a developer for the CV id / URL of B's CV.</t>
        </is>
      </c>
      <c r="G18" s="6" t="inlineStr">
        <is>
          <t>1. Sign in as account A.
2. Paste the URL of account B's CV into the address bar.
3. Also ask a developer to call the CV endpoint with B's id while signed in as A.</t>
        </is>
      </c>
      <c r="H18" s="6" t="inlineStr">
        <is>
          <t>B's CV id</t>
        </is>
      </c>
      <c r="I18" s="6" t="inlineStr">
        <is>
          <t>Access is refused both from the screen AND from the API.
Account A can never read, download or edit account B's CV.</t>
        </is>
      </c>
      <c r="J18" s="20" t="inlineStr"/>
      <c r="K18" s="21" t="inlineStr"/>
      <c r="L18" s="20" t="inlineStr"/>
      <c r="M18" s="21" t="inlineStr"/>
      <c r="N18" s="20" t="inlineStr"/>
    </row>
    <row r="19" ht="28" customHeight="1">
      <c r="A19" s="22" t="inlineStr">
        <is>
          <t>JS-06-16</t>
        </is>
      </c>
      <c r="B19" s="23" t="inlineStr">
        <is>
          <t>Visibility</t>
        </is>
      </c>
      <c r="C19" s="23" t="inlineStr">
        <is>
          <t>No Admin action can change your visibility for you</t>
        </is>
      </c>
      <c r="D19" s="25" t="inlineStr">
        <is>
          <t>Negative</t>
        </is>
      </c>
      <c r="E19" s="19" t="inlineStr">
        <is>
          <t>High</t>
        </is>
      </c>
      <c r="F19" s="23" t="inlineStr">
        <is>
          <t>You set your visibility to Hidden. You have an Admin tester available.</t>
        </is>
      </c>
      <c r="G19" s="23" t="inlineStr">
        <is>
          <t>1. Ask the Admin tester to open your jobseeker record and look for any control that changes CV visibility.
2. Ask them to try changing it.</t>
        </is>
      </c>
      <c r="H19" s="23" t="inlineStr">
        <is>
          <t>-</t>
        </is>
      </c>
      <c r="I19" s="23" t="inlineStr">
        <is>
          <t>There is NO control on the Admin side that turns visibility on.
Visibility is your consent only and cannot be flipped by staff or by any system action.</t>
        </is>
      </c>
      <c r="J19" s="20" t="inlineStr"/>
      <c r="K19" s="21" t="inlineStr"/>
      <c r="L19" s="20" t="inlineStr"/>
      <c r="M19" s="21" t="inlineStr"/>
      <c r="N19" s="20" t="inlineStr"/>
    </row>
    <row r="20" ht="28" customHeight="1">
      <c r="A20" s="17" t="inlineStr">
        <is>
          <t>JS-06-17</t>
        </is>
      </c>
      <c r="B20" s="6" t="inlineStr">
        <is>
          <t>Completeness</t>
        </is>
      </c>
      <c r="C20" s="6" t="inlineStr">
        <is>
          <t>Completeness names one clear next action, not just a number</t>
        </is>
      </c>
      <c r="D20" s="18" t="inlineStr">
        <is>
          <t>Positive</t>
        </is>
      </c>
      <c r="E20" s="24" t="inlineStr">
        <is>
          <t>Medium</t>
        </is>
      </c>
      <c r="F20" s="6" t="inlineStr">
        <is>
          <t>You have a partly filled CV.</t>
        </is>
      </c>
      <c r="G20" s="6" t="inlineStr">
        <is>
          <t>1. Look at the completeness area on My CVs / My page.</t>
        </is>
      </c>
      <c r="H20" s="6" t="inlineStr">
        <is>
          <t>-</t>
        </is>
      </c>
      <c r="I20" s="6" t="inlineStr">
        <is>
          <t>As well as a percentage, ONE specific next action is named, for example 'add your desired salary'.
A bare percentage with nothing to act on is a Fail.</t>
        </is>
      </c>
      <c r="J20" s="20" t="inlineStr"/>
      <c r="K20" s="21" t="inlineStr"/>
      <c r="L20" s="20" t="inlineStr"/>
      <c r="M20" s="21" t="inlineStr"/>
      <c r="N20" s="20" t="inlineStr"/>
    </row>
  </sheetData>
  <autoFilter ref="A3:N20"/>
  <mergeCells count="2">
    <mergeCell ref="A2:N2"/>
    <mergeCell ref="A1:N1"/>
  </mergeCells>
  <dataValidations count="1">
    <dataValidation sqref="K4:K20"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JS-07 · Homepage, search results and job detail (jobseeker side)</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JS-07-01</t>
        </is>
      </c>
      <c r="B4" s="6" t="inlineStr">
        <is>
          <t>Homepage</t>
        </is>
      </c>
      <c r="C4" s="6" t="inlineStr">
        <is>
          <t>The homepage shows every section it is supposed to</t>
        </is>
      </c>
      <c r="D4" s="18" t="inlineStr">
        <is>
          <t>Positive</t>
        </is>
      </c>
      <c r="E4" s="19" t="inlineStr">
        <is>
          <t>High</t>
        </is>
      </c>
      <c r="F4" s="6" t="inlineStr">
        <is>
          <t>Open jobs exist on the platform. You are logged out.</t>
        </is>
      </c>
      <c r="G4" s="6" t="inlineStr">
        <is>
          <t>1. Open the Jobseeker homepage.
2. Scroll down through the whole page.
3. List every section you see.</t>
        </is>
      </c>
      <c r="H4" s="6" t="inlineStr">
        <is>
          <t>-</t>
        </is>
      </c>
      <c r="I4" s="6" t="inlineStr">
        <is>
          <t>You can see: the hero search (keyword + location + a search button), quick category chips, a Hot jobs rail, a Top companies block, and the banner slots managed by Admin.</t>
        </is>
      </c>
      <c r="J4" s="20" t="inlineStr"/>
      <c r="K4" s="21" t="inlineStr"/>
      <c r="L4" s="20" t="inlineStr"/>
      <c r="M4" s="21" t="inlineStr"/>
      <c r="N4" s="20" t="inlineStr"/>
    </row>
    <row r="5" ht="28" customHeight="1">
      <c r="A5" s="22" t="inlineStr">
        <is>
          <t>JS-07-02</t>
        </is>
      </c>
      <c r="B5" s="23" t="inlineStr">
        <is>
          <t>Homepage</t>
        </is>
      </c>
      <c r="C5" s="23" t="inlineStr">
        <is>
          <t>Only jobs that are Open AND Exposure On are shown</t>
        </is>
      </c>
      <c r="D5" s="18" t="inlineStr">
        <is>
          <t>Positive</t>
        </is>
      </c>
      <c r="E5" s="19" t="inlineStr">
        <is>
          <t>High</t>
        </is>
      </c>
      <c r="F5" s="23" t="inlineStr">
        <is>
          <t>Ask an Admin tester to prepare 4 jobs on the same company: one Draft, one Scheduled for tomorrow, one Open with Exposure On, one Closed.</t>
        </is>
      </c>
      <c r="G5" s="23" t="inlineStr">
        <is>
          <t>1. Open the homepage.
2. Search for each of the 4 job titles.</t>
        </is>
      </c>
      <c r="H5" s="23" t="inlineStr">
        <is>
          <t>4 jobs in 4 different states</t>
        </is>
      </c>
      <c r="I5" s="23" t="inlineStr">
        <is>
          <t>Only the Open + Exposure On job can be found.
The Draft, the Scheduled and the Closed jobs are nowhere on the homepage or in search.</t>
        </is>
      </c>
      <c r="J5" s="20" t="inlineStr"/>
      <c r="K5" s="21" t="inlineStr"/>
      <c r="L5" s="20" t="inlineStr"/>
      <c r="M5" s="21" t="inlineStr"/>
      <c r="N5" s="20" t="inlineStr"/>
    </row>
    <row r="6" ht="67.5" customHeight="1">
      <c r="A6" s="17" t="inlineStr">
        <is>
          <t>JS-07-03</t>
        </is>
      </c>
      <c r="B6" s="6" t="inlineStr">
        <is>
          <t>Homepage</t>
        </is>
      </c>
      <c r="C6" s="6" t="inlineStr">
        <is>
          <t>Turning Exposure Off hides a live job everywhere, without closing it</t>
        </is>
      </c>
      <c r="D6" s="26" t="inlineStr">
        <is>
          <t>Edge</t>
        </is>
      </c>
      <c r="E6" s="19" t="inlineStr">
        <is>
          <t>High</t>
        </is>
      </c>
      <c r="F6" s="6" t="inlineStr">
        <is>
          <t>An Open job with Exposure On is visible on the jobseeker site.</t>
        </is>
      </c>
      <c r="G6" s="6" t="inlineStr">
        <is>
          <t>1. Find the job in search and screenshot it.
2. Ask the Admin (or company) tester to switch Exposure to Off.
3. Refresh the homepage and search again.
4. Also open the job's direct URL.
5. Ask the tester to check the job's STATUS in Admin.</t>
        </is>
      </c>
      <c r="H6" s="6" t="inlineStr">
        <is>
          <t>-</t>
        </is>
      </c>
      <c r="I6" s="6" t="inlineStr">
        <is>
          <t>The job disappears from the homepage and from search.
The direct URL no longer shows an applyable job.
In Admin the status is still 'Open' — only Exposure changed.</t>
        </is>
      </c>
      <c r="J6" s="20" t="inlineStr"/>
      <c r="K6" s="21" t="inlineStr"/>
      <c r="L6" s="20" t="inlineStr"/>
      <c r="M6" s="21" t="inlineStr"/>
      <c r="N6" s="20" t="inlineStr"/>
    </row>
    <row r="7" ht="28" customHeight="1">
      <c r="A7" s="22" t="inlineStr">
        <is>
          <t>JS-07-04</t>
        </is>
      </c>
      <c r="B7" s="23" t="inlineStr">
        <is>
          <t>Homepage</t>
        </is>
      </c>
      <c r="C7" s="23" t="inlineStr">
        <is>
          <t>Turning Exposure back On makes the job visible again</t>
        </is>
      </c>
      <c r="D7" s="18" t="inlineStr">
        <is>
          <t>Positive</t>
        </is>
      </c>
      <c r="E7" s="19" t="inlineStr">
        <is>
          <t>High</t>
        </is>
      </c>
      <c r="F7" s="23" t="inlineStr">
        <is>
          <t>The job from JS-08-03 is currently hidden.</t>
        </is>
      </c>
      <c r="G7" s="23" t="inlineStr">
        <is>
          <t>1. Ask the tester to switch Exposure back to On.
2. Refresh the jobseeker search.</t>
        </is>
      </c>
      <c r="H7" s="23" t="inlineStr">
        <is>
          <t>-</t>
        </is>
      </c>
      <c r="I7" s="23" t="inlineStr">
        <is>
          <t>The job appears again in search and can be applied to.</t>
        </is>
      </c>
      <c r="J7" s="20" t="inlineStr"/>
      <c r="K7" s="21" t="inlineStr"/>
      <c r="L7" s="20" t="inlineStr"/>
      <c r="M7" s="21" t="inlineStr"/>
      <c r="N7" s="20" t="inlineStr"/>
    </row>
    <row r="8" ht="28" customHeight="1">
      <c r="A8" s="17" t="inlineStr">
        <is>
          <t>JS-07-05</t>
        </is>
      </c>
      <c r="B8" s="6" t="inlineStr">
        <is>
          <t>Homepage</t>
        </is>
      </c>
      <c r="C8" s="6" t="inlineStr">
        <is>
          <t>Boosted / higher-tier jobs rank first in the Hot jobs rail</t>
        </is>
      </c>
      <c r="D8" s="18" t="inlineStr">
        <is>
          <t>Positive</t>
        </is>
      </c>
      <c r="E8" s="24" t="inlineStr">
        <is>
          <t>Medium</t>
        </is>
      </c>
      <c r="F8" s="6" t="inlineStr">
        <is>
          <t>Two jobs exist in the same category: one on a Top Job / Distinction product, one on Basic.</t>
        </is>
      </c>
      <c r="G8" s="6" t="inlineStr">
        <is>
          <t>1. Open the homepage.
2. Look at the order of jobs in the Hot jobs rail.</t>
        </is>
      </c>
      <c r="H8" s="6" t="inlineStr">
        <is>
          <t>-</t>
        </is>
      </c>
      <c r="I8" s="6" t="inlineStr">
        <is>
          <t>The higher-tier (boosted) job appears above the Basic one.
Write in Notes exactly what 'Hot' is driven by in this build (boost / recency / clicks) — the team has an open question here.</t>
        </is>
      </c>
      <c r="J8" s="20" t="inlineStr"/>
      <c r="K8" s="21" t="inlineStr"/>
      <c r="L8" s="20" t="inlineStr"/>
      <c r="M8" s="21" t="inlineStr"/>
      <c r="N8" s="20" t="inlineStr"/>
    </row>
    <row r="9" ht="40.5" customHeight="1">
      <c r="A9" s="22" t="inlineStr">
        <is>
          <t>JS-07-06</t>
        </is>
      </c>
      <c r="B9" s="23" t="inlineStr">
        <is>
          <t>Homepage</t>
        </is>
      </c>
      <c r="C9" s="23" t="inlineStr">
        <is>
          <t>A signed-in user sees personalised rails</t>
        </is>
      </c>
      <c r="D9" s="18" t="inlineStr">
        <is>
          <t>Positive</t>
        </is>
      </c>
      <c r="E9" s="24" t="inlineStr">
        <is>
          <t>Medium</t>
        </is>
      </c>
      <c r="F9" s="23" t="inlineStr">
        <is>
          <t>You have an account with onboarding preferences set (for example IT in Ho Chi Minh).</t>
        </is>
      </c>
      <c r="G9" s="23" t="inlineStr">
        <is>
          <t>1. Look at the homepage while logged out and note the jobs.
2. Sign in.
3. Look at the homepage again.</t>
        </is>
      </c>
      <c r="H9" s="23" t="inlineStr">
        <is>
          <t>-</t>
        </is>
      </c>
      <c r="I9" s="23" t="inlineStr">
        <is>
          <t>When signed in, the rails lean towards your saved preferences.
When logged out, a popular / general fallback is shown instead — the page is never empty.</t>
        </is>
      </c>
      <c r="J9" s="20" t="inlineStr"/>
      <c r="K9" s="21" t="inlineStr"/>
      <c r="L9" s="20" t="inlineStr"/>
      <c r="M9" s="21" t="inlineStr"/>
      <c r="N9" s="20" t="inlineStr"/>
    </row>
    <row r="10" ht="40.5" customHeight="1">
      <c r="A10" s="17" t="inlineStr">
        <is>
          <t>JS-07-07</t>
        </is>
      </c>
      <c r="B10" s="6" t="inlineStr">
        <is>
          <t>Search</t>
        </is>
      </c>
      <c r="C10" s="6" t="inlineStr">
        <is>
          <t>The hero search takes you to the results page with your keyword and location</t>
        </is>
      </c>
      <c r="D10" s="18" t="inlineStr">
        <is>
          <t>Positive</t>
        </is>
      </c>
      <c r="E10" s="19" t="inlineStr">
        <is>
          <t>High</t>
        </is>
      </c>
      <c r="F10" s="6" t="inlineStr">
        <is>
          <t>You are on the homepage.</t>
        </is>
      </c>
      <c r="G10" s="6" t="inlineStr">
        <is>
          <t>1. Type a keyword in the hero search.
2. Pick a location.
3. Press the search button.</t>
        </is>
      </c>
      <c r="H10" s="6" t="inlineStr">
        <is>
          <t>Keyword: Developer
Location: Ho Chi Minh</t>
        </is>
      </c>
      <c r="I10" s="6" t="inlineStr">
        <is>
          <t>You land on the search results page.
The keyword and the location are already applied as filters and are visible on screen.</t>
        </is>
      </c>
      <c r="J10" s="20" t="inlineStr"/>
      <c r="K10" s="21" t="inlineStr"/>
      <c r="L10" s="20" t="inlineStr"/>
      <c r="M10" s="21" t="inlineStr"/>
      <c r="N10" s="20" t="inlineStr"/>
    </row>
    <row r="11" ht="67.5" customHeight="1">
      <c r="A11" s="22" t="inlineStr">
        <is>
          <t>JS-07-08</t>
        </is>
      </c>
      <c r="B11" s="23" t="inlineStr">
        <is>
          <t>Search</t>
        </is>
      </c>
      <c r="C11" s="23" t="inlineStr">
        <is>
          <t>Every filter narrows the results</t>
        </is>
      </c>
      <c r="D11" s="18" t="inlineStr">
        <is>
          <t>Positive</t>
        </is>
      </c>
      <c r="E11" s="19" t="inlineStr">
        <is>
          <t>High</t>
        </is>
      </c>
      <c r="F11" s="23" t="inlineStr">
        <is>
          <t>You are on the search results page with results showing.</t>
        </is>
      </c>
      <c r="G11" s="23" t="inlineStr">
        <is>
          <t>1. Write down the number of results.
2. Apply a Location filter. Write down the number.
3. Apply an Industry / Category filter. Write down the number.
4. Apply a Salary range. Write down the number.
5. Apply Level, then Experience, then Employment type.</t>
        </is>
      </c>
      <c r="H11" s="23" t="inlineStr">
        <is>
          <t>-</t>
        </is>
      </c>
      <c r="I11" s="23" t="inlineStr">
        <is>
          <t>Each filter reduces (or keeps) the result count and the visible jobs really do match the filter.
Counts are shown next to the facet options.</t>
        </is>
      </c>
      <c r="J11" s="20" t="inlineStr"/>
      <c r="K11" s="21" t="inlineStr"/>
      <c r="L11" s="20" t="inlineStr"/>
      <c r="M11" s="21" t="inlineStr"/>
      <c r="N11" s="20" t="inlineStr"/>
    </row>
    <row r="12" ht="54" customHeight="1">
      <c r="A12" s="17" t="inlineStr">
        <is>
          <t>JS-07-09</t>
        </is>
      </c>
      <c r="B12" s="6" t="inlineStr">
        <is>
          <t>Search</t>
        </is>
      </c>
      <c r="C12" s="6" t="inlineStr">
        <is>
          <t>Filters are in the web address, so the link can be shared and Back works</t>
        </is>
      </c>
      <c r="D12" s="18" t="inlineStr">
        <is>
          <t>Positive</t>
        </is>
      </c>
      <c r="E12" s="19" t="inlineStr">
        <is>
          <t>High</t>
        </is>
      </c>
      <c r="F12" s="6" t="inlineStr">
        <is>
          <t>You are on the search results page.</t>
        </is>
      </c>
      <c r="G12" s="6" t="inlineStr">
        <is>
          <t>1. Apply 2 filters.
2. Copy the URL from the address bar.
3. Open it in a new browser tab.
4. Go back to the first tab and press the browser Back button.</t>
        </is>
      </c>
      <c r="H12" s="6" t="inlineStr">
        <is>
          <t>-</t>
        </is>
      </c>
      <c r="I12" s="6" t="inlineStr">
        <is>
          <t>The new tab opens with exactly the same filters applied.
The Back button removes the last filter instead of leaving the page or losing everything.</t>
        </is>
      </c>
      <c r="J12" s="20" t="inlineStr"/>
      <c r="K12" s="21" t="inlineStr"/>
      <c r="L12" s="20" t="inlineStr"/>
      <c r="M12" s="21" t="inlineStr"/>
      <c r="N12" s="20" t="inlineStr"/>
    </row>
    <row r="13" ht="40.5" customHeight="1">
      <c r="A13" s="22" t="inlineStr">
        <is>
          <t>JS-07-10</t>
        </is>
      </c>
      <c r="B13" s="23" t="inlineStr">
        <is>
          <t>Search</t>
        </is>
      </c>
      <c r="C13" s="23" t="inlineStr">
        <is>
          <t>Sorting works and 'Thỏa thuận' salaries do not jump to the top</t>
        </is>
      </c>
      <c r="D13" s="18" t="inlineStr">
        <is>
          <t>Positive</t>
        </is>
      </c>
      <c r="E13" s="24" t="inlineStr">
        <is>
          <t>Medium</t>
        </is>
      </c>
      <c r="F13" s="23" t="inlineStr">
        <is>
          <t>Search results include some jobs with a salary range and some marked 'Thỏa thuận' (negotiable).</t>
        </is>
      </c>
      <c r="G13" s="23" t="inlineStr">
        <is>
          <t>1. Sort by Newest — check the posted dates.
2. Sort by Salary — look at where the 'Thỏa thuận' jobs land.
3. Sort by Relevance.</t>
        </is>
      </c>
      <c r="H13" s="23" t="inlineStr">
        <is>
          <t>-</t>
        </is>
      </c>
      <c r="I13" s="23" t="inlineStr">
        <is>
          <t>Newest really is newest first.
With Salary sort, the 'Thỏa thuận' jobs are unranked / last — they never appear as the highest paid.</t>
        </is>
      </c>
      <c r="J13" s="20" t="inlineStr"/>
      <c r="K13" s="21" t="inlineStr"/>
      <c r="L13" s="20" t="inlineStr"/>
      <c r="M13" s="21" t="inlineStr"/>
      <c r="N13" s="20" t="inlineStr"/>
    </row>
    <row r="14" ht="40.5" customHeight="1">
      <c r="A14" s="17" t="inlineStr">
        <is>
          <t>JS-07-11</t>
        </is>
      </c>
      <c r="B14" s="6" t="inlineStr">
        <is>
          <t>Search</t>
        </is>
      </c>
      <c r="C14" s="6" t="inlineStr">
        <is>
          <t>You can save a job from the result card without leaving the page</t>
        </is>
      </c>
      <c r="D14" s="18" t="inlineStr">
        <is>
          <t>Positive</t>
        </is>
      </c>
      <c r="E14" s="24" t="inlineStr">
        <is>
          <t>Medium</t>
        </is>
      </c>
      <c r="F14" s="6" t="inlineStr">
        <is>
          <t>You are signed in and on the search results page.</t>
        </is>
      </c>
      <c r="G14" s="6" t="inlineStr">
        <is>
          <t>1. Click the heart / save icon on a result card.
2. Check the page did not navigate away.
3. Go to My page → Saved jobs.</t>
        </is>
      </c>
      <c r="H14" s="6" t="inlineStr">
        <is>
          <t>-</t>
        </is>
      </c>
      <c r="I14" s="6" t="inlineStr">
        <is>
          <t>The card shows as saved and the page does not reload or navigate.
The job is listed in Saved jobs.</t>
        </is>
      </c>
      <c r="J14" s="20" t="inlineStr"/>
      <c r="K14" s="21" t="inlineStr"/>
      <c r="L14" s="20" t="inlineStr"/>
      <c r="M14" s="21" t="inlineStr"/>
      <c r="N14" s="20" t="inlineStr"/>
    </row>
    <row r="15" ht="28" customHeight="1">
      <c r="A15" s="22" t="inlineStr">
        <is>
          <t>JS-07-12</t>
        </is>
      </c>
      <c r="B15" s="23" t="inlineStr">
        <is>
          <t>Search</t>
        </is>
      </c>
      <c r="C15" s="23" t="inlineStr">
        <is>
          <t>No results is explained, not shown as an empty broken page</t>
        </is>
      </c>
      <c r="D15" s="25" t="inlineStr">
        <is>
          <t>Negative</t>
        </is>
      </c>
      <c r="E15" s="24" t="inlineStr">
        <is>
          <t>Medium</t>
        </is>
      </c>
      <c r="F15" s="23" t="inlineStr">
        <is>
          <t>You are on the search results page.</t>
        </is>
      </c>
      <c r="G15" s="23" t="inlineStr">
        <is>
          <t>1. Type a keyword that matches nothing, for example 'qqqzzzxx'.
2. Search.</t>
        </is>
      </c>
      <c r="H15" s="23" t="inlineStr">
        <is>
          <t>Keyword: qqqzzzxx</t>
        </is>
      </c>
      <c r="I15" s="23" t="inlineStr">
        <is>
          <t>A friendly message says nothing was found and suggests how to broaden the search.
The page is not blank and does not show an error.</t>
        </is>
      </c>
      <c r="J15" s="20" t="inlineStr"/>
      <c r="K15" s="21" t="inlineStr"/>
      <c r="L15" s="20" t="inlineStr"/>
      <c r="M15" s="21" t="inlineStr"/>
      <c r="N15" s="20" t="inlineStr"/>
    </row>
    <row r="16" ht="40.5" customHeight="1">
      <c r="A16" s="17" t="inlineStr">
        <is>
          <t>JS-07-13</t>
        </is>
      </c>
      <c r="B16" s="6" t="inlineStr">
        <is>
          <t>Search</t>
        </is>
      </c>
      <c r="C16" s="6" t="inlineStr">
        <is>
          <t>Paging through results works</t>
        </is>
      </c>
      <c r="D16" s="18" t="inlineStr">
        <is>
          <t>Positive</t>
        </is>
      </c>
      <c r="E16" s="24" t="inlineStr">
        <is>
          <t>Medium</t>
        </is>
      </c>
      <c r="F16" s="6" t="inlineStr">
        <is>
          <t>A search returns more results than fit on one page.</t>
        </is>
      </c>
      <c r="G16" s="6" t="inlineStr">
        <is>
          <t>1. Go to page 2.
2. Go to page 3.
3. Go back to page 1.</t>
        </is>
      </c>
      <c r="H16" s="6" t="inlineStr">
        <is>
          <t>-</t>
        </is>
      </c>
      <c r="I16" s="6" t="inlineStr">
        <is>
          <t>Each page shows different jobs, the filters stay applied, and no job is repeated across pages.</t>
        </is>
      </c>
      <c r="J16" s="20" t="inlineStr"/>
      <c r="K16" s="21" t="inlineStr"/>
      <c r="L16" s="20" t="inlineStr"/>
      <c r="M16" s="21" t="inlineStr"/>
      <c r="N16" s="20" t="inlineStr"/>
    </row>
    <row r="17" ht="28" customHeight="1">
      <c r="A17" s="22" t="inlineStr">
        <is>
          <t>JS-07-14</t>
        </is>
      </c>
      <c r="B17" s="23" t="inlineStr">
        <is>
          <t>Job detail</t>
        </is>
      </c>
      <c r="C17" s="23" t="inlineStr">
        <is>
          <t>The job detail page shows all the job content</t>
        </is>
      </c>
      <c r="D17" s="18" t="inlineStr">
        <is>
          <t>Positive</t>
        </is>
      </c>
      <c r="E17" s="19" t="inlineStr">
        <is>
          <t>High</t>
        </is>
      </c>
      <c r="F17" s="23" t="inlineStr">
        <is>
          <t>An Open job with full content exists.</t>
        </is>
      </c>
      <c r="G17" s="23" t="inlineStr">
        <is>
          <t>1. Open the job from search.
2. Read the whole page.</t>
        </is>
      </c>
      <c r="H17" s="23" t="inlineStr">
        <is>
          <t>-</t>
        </is>
      </c>
      <c r="I17" s="23" t="inlineStr">
        <is>
          <t>The header shows the title, the company with its logo, salary, location, level and deadline, plus Apply / Save / Share.
The body shows the role &amp; responsibility, skills &amp; qualifications, benefits, skill chips and a 'similar jobs' block.</t>
        </is>
      </c>
      <c r="J17" s="20" t="inlineStr"/>
      <c r="K17" s="21" t="inlineStr"/>
      <c r="L17" s="20" t="inlineStr"/>
      <c r="M17" s="21" t="inlineStr"/>
      <c r="N17" s="20" t="inlineStr"/>
    </row>
    <row r="18" ht="40.5" customHeight="1">
      <c r="A18" s="17" t="inlineStr">
        <is>
          <t>JS-07-15</t>
        </is>
      </c>
      <c r="B18" s="6" t="inlineStr">
        <is>
          <t>Job detail</t>
        </is>
      </c>
      <c r="C18" s="6" t="inlineStr">
        <is>
          <t>Benefits show as two blocks: this position, and the company in general</t>
        </is>
      </c>
      <c r="D18" s="18" t="inlineStr">
        <is>
          <t>Positive</t>
        </is>
      </c>
      <c r="E18" s="19" t="inlineStr">
        <is>
          <t>High</t>
        </is>
      </c>
      <c r="F18" s="6" t="inlineStr">
        <is>
          <t>A job was posted with 2 position benefits, and its company page has general benefits.</t>
        </is>
      </c>
      <c r="G18" s="6" t="inlineStr">
        <is>
          <t>1. Open the job detail.
2. Find the benefits area.</t>
        </is>
      </c>
      <c r="H18" s="6" t="inlineStr">
        <is>
          <t>-</t>
        </is>
      </c>
      <c r="I18" s="6" t="inlineStr">
        <is>
          <t>There are two blocks: 'Phúc lợi riêng của vị trí này' (from the job) and 'Phúc lợi chung của công ty' (inherited from the company page, with a link to the company page).
Each benefit has an icon and a description.
The same benefit type is not repeated in both blocks.</t>
        </is>
      </c>
      <c r="J18" s="20" t="inlineStr"/>
      <c r="K18" s="21" t="inlineStr"/>
      <c r="L18" s="20" t="inlineStr"/>
      <c r="M18" s="21" t="inlineStr"/>
      <c r="N18" s="20" t="inlineStr"/>
    </row>
    <row r="19" ht="28" customHeight="1">
      <c r="A19" s="22" t="inlineStr">
        <is>
          <t>JS-07-16</t>
        </is>
      </c>
      <c r="B19" s="23" t="inlineStr">
        <is>
          <t>Job detail</t>
        </is>
      </c>
      <c r="C19" s="23" t="inlineStr">
        <is>
          <t>Missing English content falls back to Vietnamese</t>
        </is>
      </c>
      <c r="D19" s="26" t="inlineStr">
        <is>
          <t>Edge</t>
        </is>
      </c>
      <c r="E19" s="24" t="inlineStr">
        <is>
          <t>Medium</t>
        </is>
      </c>
      <c r="F19" s="23" t="inlineStr">
        <is>
          <t>A job was posted with Vietnamese content only (no English translation).</t>
        </is>
      </c>
      <c r="G19" s="23" t="inlineStr">
        <is>
          <t>1. Open the job detail with the site language set to English.</t>
        </is>
      </c>
      <c r="H19" s="23" t="inlineStr">
        <is>
          <t>-</t>
        </is>
      </c>
      <c r="I19" s="23" t="inlineStr">
        <is>
          <t>The Vietnamese text is shown instead of an empty section.
Nothing appears blank just because the translation is missing.</t>
        </is>
      </c>
      <c r="J19" s="20" t="inlineStr"/>
      <c r="K19" s="21" t="inlineStr"/>
      <c r="L19" s="20" t="inlineStr"/>
      <c r="M19" s="21" t="inlineStr"/>
      <c r="N19" s="20" t="inlineStr"/>
    </row>
    <row r="20" ht="40.5" customHeight="1">
      <c r="A20" s="17" t="inlineStr">
        <is>
          <t>JS-07-17</t>
        </is>
      </c>
      <c r="B20" s="6" t="inlineStr">
        <is>
          <t>Job detail</t>
        </is>
      </c>
      <c r="C20" s="6" t="inlineStr">
        <is>
          <t>A Closed job is readable but Apply is switched off</t>
        </is>
      </c>
      <c r="D20" s="25" t="inlineStr">
        <is>
          <t>Negative</t>
        </is>
      </c>
      <c r="E20" s="19" t="inlineStr">
        <is>
          <t>High</t>
        </is>
      </c>
      <c r="F20" s="6" t="inlineStr">
        <is>
          <t>A job has passed its deadline (or was closed by hand).</t>
        </is>
      </c>
      <c r="G20" s="6" t="inlineStr">
        <is>
          <t>1. Open that job's page.
2. Try to apply.</t>
        </is>
      </c>
      <c r="H20" s="6" t="inlineStr">
        <is>
          <t>-</t>
        </is>
      </c>
      <c r="I20" s="6" t="inlineStr">
        <is>
          <t>The job content still opens.
A notice explains it is closed and the Apply button is disabled or gone.
Applying is impossible, including by refreshing or reopening.</t>
        </is>
      </c>
      <c r="J20" s="20" t="inlineStr"/>
      <c r="K20" s="21" t="inlineStr"/>
      <c r="L20" s="20" t="inlineStr"/>
      <c r="M20" s="21" t="inlineStr"/>
      <c r="N20" s="20" t="inlineStr"/>
    </row>
    <row r="21" ht="40.5" customHeight="1">
      <c r="A21" s="22" t="inlineStr">
        <is>
          <t>JS-07-18</t>
        </is>
      </c>
      <c r="B21" s="23" t="inlineStr">
        <is>
          <t>Job detail</t>
        </is>
      </c>
      <c r="C21" s="23" t="inlineStr">
        <is>
          <t>A guest clicking Apply is asked to sign in and comes back to the same job</t>
        </is>
      </c>
      <c r="D21" s="18" t="inlineStr">
        <is>
          <t>Positive</t>
        </is>
      </c>
      <c r="E21" s="19" t="inlineStr">
        <is>
          <t>High</t>
        </is>
      </c>
      <c r="F21" s="23" t="inlineStr">
        <is>
          <t>You are logged out.</t>
        </is>
      </c>
      <c r="G21" s="23" t="inlineStr">
        <is>
          <t>1. Open an Open job.
2. Click 'Apply now'.
3. Sign in with an existing account.</t>
        </is>
      </c>
      <c r="H21" s="23" t="inlineStr">
        <is>
          <t>-</t>
        </is>
      </c>
      <c r="I21" s="23" t="inlineStr">
        <is>
          <t>You are asked to sign in / sign up.
After signing in you are back on the SAME job and the apply flow continues.
The job is not lost.</t>
        </is>
      </c>
      <c r="J21" s="20" t="inlineStr"/>
      <c r="K21" s="21" t="inlineStr"/>
      <c r="L21" s="20" t="inlineStr"/>
      <c r="M21" s="21" t="inlineStr"/>
      <c r="N21" s="20" t="inlineStr"/>
    </row>
    <row r="22" ht="28" customHeight="1">
      <c r="A22" s="17" t="inlineStr">
        <is>
          <t>JS-07-19</t>
        </is>
      </c>
      <c r="B22" s="6" t="inlineStr">
        <is>
          <t>Job detail</t>
        </is>
      </c>
      <c r="C22" s="6" t="inlineStr">
        <is>
          <t>A job you already applied to shows 'Applied' instead of Apply</t>
        </is>
      </c>
      <c r="D22" s="18" t="inlineStr">
        <is>
          <t>Positive</t>
        </is>
      </c>
      <c r="E22" s="19" t="inlineStr">
        <is>
          <t>High</t>
        </is>
      </c>
      <c r="F22" s="6" t="inlineStr">
        <is>
          <t>You already applied to a job with this account.</t>
        </is>
      </c>
      <c r="G22" s="6" t="inlineStr">
        <is>
          <t>1. Open that job again.</t>
        </is>
      </c>
      <c r="H22" s="6" t="inlineStr">
        <is>
          <t>-</t>
        </is>
      </c>
      <c r="I22" s="6" t="inlineStr">
        <is>
          <t>The Apply button is replaced by something like 'Applied — view application', which links to your existing application.</t>
        </is>
      </c>
      <c r="J22" s="20" t="inlineStr"/>
      <c r="K22" s="21" t="inlineStr"/>
      <c r="L22" s="20" t="inlineStr"/>
      <c r="M22" s="21" t="inlineStr"/>
      <c r="N22" s="20" t="inlineStr"/>
    </row>
    <row r="23" ht="28" customHeight="1">
      <c r="A23" s="22" t="inlineStr">
        <is>
          <t>JS-07-20</t>
        </is>
      </c>
      <c r="B23" s="23" t="inlineStr">
        <is>
          <t>Job detail</t>
        </is>
      </c>
      <c r="C23" s="23" t="inlineStr">
        <is>
          <t>The company block links to the public company page</t>
        </is>
      </c>
      <c r="D23" s="18" t="inlineStr">
        <is>
          <t>Positive</t>
        </is>
      </c>
      <c r="E23" s="24" t="inlineStr">
        <is>
          <t>Medium</t>
        </is>
      </c>
      <c r="F23" s="23" t="inlineStr">
        <is>
          <t>An Open job belongs to a company that has a public company page.</t>
        </is>
      </c>
      <c r="G23" s="23" t="inlineStr">
        <is>
          <t>1. Open the job detail.
2. Click the company name / logo.</t>
        </is>
      </c>
      <c r="H23" s="23" t="inlineStr">
        <is>
          <t>-</t>
        </is>
      </c>
      <c r="I23" s="23" t="inlineStr">
        <is>
          <t>The public company page opens, showing that company's information and its other open jobs.</t>
        </is>
      </c>
      <c r="J23" s="20" t="inlineStr"/>
      <c r="K23" s="21" t="inlineStr"/>
      <c r="L23" s="20" t="inlineStr"/>
      <c r="M23" s="21" t="inlineStr"/>
      <c r="N23" s="20" t="inlineStr"/>
    </row>
    <row r="24" ht="54" customHeight="1">
      <c r="A24" s="17" t="inlineStr">
        <is>
          <t>JS-07-21</t>
        </is>
      </c>
      <c r="B24" s="6" t="inlineStr">
        <is>
          <t>Job detail</t>
        </is>
      </c>
      <c r="C24" s="6" t="inlineStr">
        <is>
          <t>Opening a job counts a view (but not endlessly)</t>
        </is>
      </c>
      <c r="D24" s="26" t="inlineStr">
        <is>
          <t>Edge</t>
        </is>
      </c>
      <c r="E24" s="27" t="inlineStr">
        <is>
          <t>Low</t>
        </is>
      </c>
      <c r="F24" s="6" t="inlineStr">
        <is>
          <t>You have an Admin tester who can read the job's view count.</t>
        </is>
      </c>
      <c r="G24" s="6" t="inlineStr">
        <is>
          <t>1. Ask the tester to note the current view count.
2. Open the job detail once.
3. Refresh the same page 5 times quickly.
4. Ask the tester to check the count again.</t>
        </is>
      </c>
      <c r="H24" s="6" t="inlineStr">
        <is>
          <t>-</t>
        </is>
      </c>
      <c r="I24" s="6" t="inlineStr">
        <is>
          <t>The view count goes up.
It does not go up by 6 — repeated refreshes by the same person are de-duplicated.</t>
        </is>
      </c>
      <c r="J24" s="20" t="inlineStr"/>
      <c r="K24" s="21" t="inlineStr"/>
      <c r="L24" s="20" t="inlineStr"/>
      <c r="M24" s="21" t="inlineStr"/>
      <c r="N24" s="20" t="inlineStr"/>
    </row>
  </sheetData>
  <autoFilter ref="A3:N24"/>
  <mergeCells count="2">
    <mergeCell ref="A2:N2"/>
    <mergeCell ref="A1:N1"/>
  </mergeCells>
  <dataValidations count="1">
    <dataValidation sqref="K4:K24"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JS-08 · Apply flow</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28" customHeight="1">
      <c r="A4" s="17" t="inlineStr">
        <is>
          <t>JS-08-01</t>
        </is>
      </c>
      <c r="B4" s="6" t="inlineStr">
        <is>
          <t>Apply flow</t>
        </is>
      </c>
      <c r="C4" s="6" t="inlineStr">
        <is>
          <t>Apply opens as one screen over the job, with the job echoed back</t>
        </is>
      </c>
      <c r="D4" s="18" t="inlineStr">
        <is>
          <t>Positive</t>
        </is>
      </c>
      <c r="E4" s="19" t="inlineStr">
        <is>
          <t>High</t>
        </is>
      </c>
      <c r="F4" s="6" t="inlineStr">
        <is>
          <t>You are signed in, Active, with at least one CV. You are on an Open job.</t>
        </is>
      </c>
      <c r="G4" s="6" t="inlineStr">
        <is>
          <t>1. Click 'Apply now'.
2. Look at the top of the apply screen.</t>
        </is>
      </c>
      <c r="H4" s="6" t="inlineStr">
        <is>
          <t>-</t>
        </is>
      </c>
      <c r="I4" s="6" t="inlineStr">
        <is>
          <t>The apply screen opens over the job.
It shows the job title, company, location and deadline so you are sure what you are applying to.</t>
        </is>
      </c>
      <c r="J4" s="20" t="inlineStr"/>
      <c r="K4" s="21" t="inlineStr"/>
      <c r="L4" s="20" t="inlineStr"/>
      <c r="M4" s="21" t="inlineStr"/>
      <c r="N4" s="20" t="inlineStr"/>
    </row>
    <row r="5" ht="40.5" customHeight="1">
      <c r="A5" s="22" t="inlineStr">
        <is>
          <t>JS-08-02</t>
        </is>
      </c>
      <c r="B5" s="23" t="inlineStr">
        <is>
          <t>Apply flow</t>
        </is>
      </c>
      <c r="C5" s="23" t="inlineStr">
        <is>
          <t>Section ① lists your CVs and pre-selects the searchable / primary one</t>
        </is>
      </c>
      <c r="D5" s="18" t="inlineStr">
        <is>
          <t>Positive</t>
        </is>
      </c>
      <c r="E5" s="19" t="inlineStr">
        <is>
          <t>High</t>
        </is>
      </c>
      <c r="F5" s="23" t="inlineStr">
        <is>
          <t>You have 2 or 3 CVs, one of them marked as the searchable / primary CV.</t>
        </is>
      </c>
      <c r="G5" s="23" t="inlineStr">
        <is>
          <t>1. Open the apply screen.
2. Look at section ① Your CV.</t>
        </is>
      </c>
      <c r="H5" s="23" t="inlineStr">
        <is>
          <t>-</t>
        </is>
      </c>
      <c r="I5" s="23" t="inlineStr">
        <is>
          <t>All your CVs are listed as a radio list, each with its name and kind (Saramin CV / uploaded file) and last-updated date.
The primary one is already selected.
There is an 'Add a new CV' option.</t>
        </is>
      </c>
      <c r="J5" s="20" t="inlineStr"/>
      <c r="K5" s="21" t="inlineStr"/>
      <c r="L5" s="20" t="inlineStr"/>
      <c r="M5" s="21" t="inlineStr"/>
      <c r="N5" s="20" t="inlineStr"/>
    </row>
    <row r="6" ht="28" customHeight="1">
      <c r="A6" s="17" t="inlineStr">
        <is>
          <t>JS-08-03</t>
        </is>
      </c>
      <c r="B6" s="6" t="inlineStr">
        <is>
          <t>Apply flow</t>
        </is>
      </c>
      <c r="C6" s="6" t="inlineStr">
        <is>
          <t>Section ② arrives pre-filled from your profile</t>
        </is>
      </c>
      <c r="D6" s="18" t="inlineStr">
        <is>
          <t>Positive</t>
        </is>
      </c>
      <c r="E6" s="19" t="inlineStr">
        <is>
          <t>High</t>
        </is>
      </c>
      <c r="F6" s="6" t="inlineStr">
        <is>
          <t>You completed sign-up and onboarding.</t>
        </is>
      </c>
      <c r="G6" s="6" t="inlineStr">
        <is>
          <t>1. Open the apply screen.
2. Look at section ② Application information.</t>
        </is>
      </c>
      <c r="H6" s="6" t="inlineStr">
        <is>
          <t>-</t>
        </is>
      </c>
      <c r="I6" s="6" t="inlineStr">
        <is>
          <t>Full name, contact email, phone, location, years of experience and highest education are already filled in from your profile.
You are confirming, not typing everything again.</t>
        </is>
      </c>
      <c r="J6" s="20" t="inlineStr"/>
      <c r="K6" s="21" t="inlineStr"/>
      <c r="L6" s="20" t="inlineStr"/>
      <c r="M6" s="21" t="inlineStr"/>
      <c r="N6" s="20" t="inlineStr"/>
    </row>
    <row r="7" ht="67.5" customHeight="1">
      <c r="A7" s="22" t="inlineStr">
        <is>
          <t>JS-08-04</t>
        </is>
      </c>
      <c r="B7" s="23" t="inlineStr">
        <is>
          <t>Apply flow</t>
        </is>
      </c>
      <c r="C7" s="23" t="inlineStr">
        <is>
          <t>A social login's email is locked but the contact email can be changed</t>
        </is>
      </c>
      <c r="D7" s="18" t="inlineStr">
        <is>
          <t>Positive</t>
        </is>
      </c>
      <c r="E7" s="19" t="inlineStr">
        <is>
          <t>High</t>
        </is>
      </c>
      <c r="F7" s="23" t="inlineStr">
        <is>
          <t>You are signed in with an account created through Google.</t>
        </is>
      </c>
      <c r="G7" s="23" t="inlineStr">
        <is>
          <t>1. Open the apply screen.
2. Look at the email fields in section ②.
3. Change the CONTACT email to a different address.
4. Submit the application.
5. Ask the company tester which email they received.</t>
        </is>
      </c>
      <c r="H7" s="23" t="inlineStr">
        <is>
          <t>Contact email: work.address@mail.com</t>
        </is>
      </c>
      <c r="I7" s="23" t="inlineStr">
        <is>
          <t>The login email is shown locked with 'Google' named beside it and cannot be edited.
The contact email CAN be edited.
The employer receives the CONTACT email you typed, not the Google one.</t>
        </is>
      </c>
      <c r="J7" s="20" t="inlineStr"/>
      <c r="K7" s="21" t="inlineStr"/>
      <c r="L7" s="20" t="inlineStr"/>
      <c r="M7" s="21" t="inlineStr"/>
      <c r="N7" s="20" t="inlineStr"/>
    </row>
    <row r="8" ht="67.5" customHeight="1">
      <c r="A8" s="17" t="inlineStr">
        <is>
          <t>JS-08-05</t>
        </is>
      </c>
      <c r="B8" s="6" t="inlineStr">
        <is>
          <t>Apply flow</t>
        </is>
      </c>
      <c r="C8" s="6" t="inlineStr">
        <is>
          <t>An application cannot be sent with an empty phone number</t>
        </is>
      </c>
      <c r="D8" s="25" t="inlineStr">
        <is>
          <t>Negative</t>
        </is>
      </c>
      <c r="E8" s="19" t="inlineStr">
        <is>
          <t>High</t>
        </is>
      </c>
      <c r="F8" s="6" t="inlineStr">
        <is>
          <t>You are on the apply screen.</t>
        </is>
      </c>
      <c r="G8" s="6" t="inlineStr">
        <is>
          <t>1. Clear the Phone box.
2. Fill everything else in.
3. Tick consent.
4. Click 'Submit application'.
5. Ask a developer to send the same request with an empty phone directly to the API.</t>
        </is>
      </c>
      <c r="H8" s="6" t="inlineStr">
        <is>
          <t>Phone: (empty)</t>
        </is>
      </c>
      <c r="I8" s="6" t="inlineStr">
        <is>
          <t>The screen refuses to submit and asks for the phone.
The API ALSO refuses — the check is not only in the browser.</t>
        </is>
      </c>
      <c r="J8" s="20" t="inlineStr"/>
      <c r="K8" s="21" t="inlineStr"/>
      <c r="L8" s="20" t="inlineStr"/>
      <c r="M8" s="21" t="inlineStr"/>
      <c r="N8" s="20" t="inlineStr"/>
    </row>
    <row r="9" ht="28" customHeight="1">
      <c r="A9" s="22" t="inlineStr">
        <is>
          <t>JS-08-06</t>
        </is>
      </c>
      <c r="B9" s="23" t="inlineStr">
        <is>
          <t>Apply flow</t>
        </is>
      </c>
      <c r="C9" s="23" t="inlineStr">
        <is>
          <t>Section ③ Desired job is pre-filled from onboarding</t>
        </is>
      </c>
      <c r="D9" s="18" t="inlineStr">
        <is>
          <t>Positive</t>
        </is>
      </c>
      <c r="E9" s="19" t="inlineStr">
        <is>
          <t>High</t>
        </is>
      </c>
      <c r="F9" s="23" t="inlineStr">
        <is>
          <t>You answered the onboarding wizard.</t>
        </is>
      </c>
      <c r="G9" s="23" t="inlineStr">
        <is>
          <t>1. Open the apply screen.
2. Look at section ③ Desired job.</t>
        </is>
      </c>
      <c r="H9" s="23" t="inlineStr">
        <is>
          <t>-</t>
        </is>
      </c>
      <c r="I9" s="23" t="inlineStr">
        <is>
          <t>Desired location, level, industry, field, expected salary and availability are pre-filled with your onboarding answers.</t>
        </is>
      </c>
      <c r="J9" s="20" t="inlineStr"/>
      <c r="K9" s="21" t="inlineStr"/>
      <c r="L9" s="20" t="inlineStr"/>
      <c r="M9" s="21" t="inlineStr"/>
      <c r="N9" s="20" t="inlineStr"/>
    </row>
    <row r="10" ht="28" customHeight="1">
      <c r="A10" s="17" t="inlineStr">
        <is>
          <t>JS-08-07</t>
        </is>
      </c>
      <c r="B10" s="6" t="inlineStr">
        <is>
          <t>Apply flow</t>
        </is>
      </c>
      <c r="C10" s="6" t="inlineStr">
        <is>
          <t>The cover message is optional and limited to 1,000 characters</t>
        </is>
      </c>
      <c r="D10" s="25" t="inlineStr">
        <is>
          <t>Negative</t>
        </is>
      </c>
      <c r="E10" s="24" t="inlineStr">
        <is>
          <t>Medium</t>
        </is>
      </c>
      <c r="F10" s="6" t="inlineStr">
        <is>
          <t>You are on the apply screen.</t>
        </is>
      </c>
      <c r="G10" s="6" t="inlineStr">
        <is>
          <t>1. Leave the cover message empty and check you can still submit.
2. Start again and paste more than 1,000 characters into it.</t>
        </is>
      </c>
      <c r="H10" s="6" t="inlineStr">
        <is>
          <t>A text longer than 1,000 characters</t>
        </is>
      </c>
      <c r="I10" s="6" t="inlineStr">
        <is>
          <t>The application can be sent with no cover message.
Text longer than 1,000 characters is refused or cut at the limit, with the limit shown.</t>
        </is>
      </c>
      <c r="J10" s="20" t="inlineStr"/>
      <c r="K10" s="21" t="inlineStr"/>
      <c r="L10" s="20" t="inlineStr"/>
      <c r="M10" s="21" t="inlineStr"/>
      <c r="N10" s="20" t="inlineStr"/>
    </row>
    <row r="11" ht="28" customHeight="1">
      <c r="A11" s="22" t="inlineStr">
        <is>
          <t>JS-08-08</t>
        </is>
      </c>
      <c r="B11" s="23" t="inlineStr">
        <is>
          <t>Apply flow</t>
        </is>
      </c>
      <c r="C11" s="23" t="inlineStr">
        <is>
          <t>The consent tick box is required</t>
        </is>
      </c>
      <c r="D11" s="25" t="inlineStr">
        <is>
          <t>Negative</t>
        </is>
      </c>
      <c r="E11" s="19" t="inlineStr">
        <is>
          <t>High</t>
        </is>
      </c>
      <c r="F11" s="23" t="inlineStr">
        <is>
          <t>You are on the apply screen with everything filled in.</t>
        </is>
      </c>
      <c r="G11" s="23" t="inlineStr">
        <is>
          <t>1. Do NOT tick the consent box ('I agree to share my profile &amp; CV with this employer').
2. Click Submit.</t>
        </is>
      </c>
      <c r="H11" s="23" t="inlineStr">
        <is>
          <t>-</t>
        </is>
      </c>
      <c r="I11" s="23" t="inlineStr">
        <is>
          <t>The application is not sent.
The screen asks you to accept the consent first.</t>
        </is>
      </c>
      <c r="J11" s="20" t="inlineStr"/>
      <c r="K11" s="21" t="inlineStr"/>
      <c r="L11" s="20" t="inlineStr"/>
      <c r="M11" s="21" t="inlineStr"/>
      <c r="N11" s="20" t="inlineStr"/>
    </row>
    <row r="12" ht="40.5" customHeight="1">
      <c r="A12" s="17" t="inlineStr">
        <is>
          <t>JS-08-09</t>
        </is>
      </c>
      <c r="B12" s="6" t="inlineStr">
        <is>
          <t>Apply flow</t>
        </is>
      </c>
      <c r="C12" s="6" t="inlineStr">
        <is>
          <t>A complete application is submitted and appears in My applications</t>
        </is>
      </c>
      <c r="D12" s="18" t="inlineStr">
        <is>
          <t>Positive</t>
        </is>
      </c>
      <c r="E12" s="19" t="inlineStr">
        <is>
          <t>High</t>
        </is>
      </c>
      <c r="F12" s="6" t="inlineStr">
        <is>
          <t>You are on the apply screen with everything filled in and consent ticked.</t>
        </is>
      </c>
      <c r="G12" s="6" t="inlineStr">
        <is>
          <t>1. Click 'Submit application'.
2. Look at the confirmation.
3. Go to My applications.</t>
        </is>
      </c>
      <c r="H12" s="6" t="inlineStr">
        <is>
          <t>-</t>
        </is>
      </c>
      <c r="I12" s="6" t="inlineStr">
        <is>
          <t>The application is created.
You land on a confirmation that links to My applications.
The application is listed there with today's date, the job, the company and the CV you used.</t>
        </is>
      </c>
      <c r="J12" s="20" t="inlineStr"/>
      <c r="K12" s="21" t="inlineStr"/>
      <c r="L12" s="20" t="inlineStr"/>
      <c r="M12" s="21" t="inlineStr"/>
      <c r="N12" s="20" t="inlineStr"/>
    </row>
    <row r="13" ht="40.5" customHeight="1">
      <c r="A13" s="22" t="inlineStr">
        <is>
          <t>JS-08-10</t>
        </is>
      </c>
      <c r="B13" s="23" t="inlineStr">
        <is>
          <t>Apply flow</t>
        </is>
      </c>
      <c r="C13" s="23" t="inlineStr">
        <is>
          <t>The employer receives the application straight away</t>
        </is>
      </c>
      <c r="D13" s="18" t="inlineStr">
        <is>
          <t>Positive</t>
        </is>
      </c>
      <c r="E13" s="19" t="inlineStr">
        <is>
          <t>High</t>
        </is>
      </c>
      <c r="F13" s="23" t="inlineStr">
        <is>
          <t>You just submitted an application (JS-09-09). A tester has the company account for that job.</t>
        </is>
      </c>
      <c r="G13" s="23" t="inlineStr">
        <is>
          <t>1. Ask the company tester to open Recruiting → Applicants for that job.
2. Ask them to open your card.</t>
        </is>
      </c>
      <c r="H13" s="23" t="inlineStr">
        <is>
          <t>-</t>
        </is>
      </c>
      <c r="I13" s="23" t="inlineStr">
        <is>
          <t>Your application is on their board immediately, in the first stage ('New').
They can see your CV, name, contact email and phone.
There is no waiting period where the application exists but the employer cannot see it.</t>
        </is>
      </c>
      <c r="J13" s="20" t="inlineStr"/>
      <c r="K13" s="21" t="inlineStr"/>
      <c r="L13" s="20" t="inlineStr"/>
      <c r="M13" s="21" t="inlineStr"/>
      <c r="N13" s="20" t="inlineStr"/>
    </row>
    <row r="14" ht="40.5" customHeight="1">
      <c r="A14" s="17" t="inlineStr">
        <is>
          <t>JS-08-11</t>
        </is>
      </c>
      <c r="B14" s="6" t="inlineStr">
        <is>
          <t>Apply flow</t>
        </is>
      </c>
      <c r="C14" s="6" t="inlineStr">
        <is>
          <t>Editing your details while applying updates your profile too</t>
        </is>
      </c>
      <c r="D14" s="18" t="inlineStr">
        <is>
          <t>Positive</t>
        </is>
      </c>
      <c r="E14" s="19" t="inlineStr">
        <is>
          <t>High</t>
        </is>
      </c>
      <c r="F14" s="6" t="inlineStr">
        <is>
          <t>You are on the apply screen.</t>
        </is>
      </c>
      <c r="G14" s="6" t="inlineStr">
        <is>
          <t>1. Change the phone number in section ②.
2. Submit the application.
3. Go to My page and look at the phone number.</t>
        </is>
      </c>
      <c r="H14" s="6" t="inlineStr">
        <is>
          <t>New phone: 0987654321</t>
        </is>
      </c>
      <c r="I14" s="6" t="inlineStr">
        <is>
          <t>The new phone number is saved on your PROFILE, not only on that one application.
You were not asked to go and update your profile separately.</t>
        </is>
      </c>
      <c r="J14" s="20" t="inlineStr"/>
      <c r="K14" s="21" t="inlineStr"/>
      <c r="L14" s="20" t="inlineStr"/>
      <c r="M14" s="21" t="inlineStr"/>
      <c r="N14" s="20" t="inlineStr"/>
    </row>
    <row r="15" ht="40.5" customHeight="1">
      <c r="A15" s="22" t="inlineStr">
        <is>
          <t>JS-08-12</t>
        </is>
      </c>
      <c r="B15" s="23" t="inlineStr">
        <is>
          <t>Apply flow</t>
        </is>
      </c>
      <c r="C15" s="23" t="inlineStr">
        <is>
          <t>A second apply shows a short read-back, not the full form again</t>
        </is>
      </c>
      <c r="D15" s="18" t="inlineStr">
        <is>
          <t>Positive</t>
        </is>
      </c>
      <c r="E15" s="24" t="inlineStr">
        <is>
          <t>Medium</t>
        </is>
      </c>
      <c r="F15" s="23" t="inlineStr">
        <is>
          <t>You already applied to one job with this account.</t>
        </is>
      </c>
      <c r="G15" s="23" t="inlineStr">
        <is>
          <t>1. Open a DIFFERENT open job.
2. Click Apply.
3. Look at the contact section.</t>
        </is>
      </c>
      <c r="H15" s="23" t="inlineStr">
        <is>
          <t>-</t>
        </is>
      </c>
      <c r="I15" s="23" t="inlineStr">
        <is>
          <t>Your contact details are shown as a compact one-line read-back with a 'Change' link, not as an expanded form to fill in again.</t>
        </is>
      </c>
      <c r="J15" s="20" t="inlineStr"/>
      <c r="K15" s="21" t="inlineStr"/>
      <c r="L15" s="20" t="inlineStr"/>
      <c r="M15" s="21" t="inlineStr"/>
      <c r="N15" s="20" t="inlineStr"/>
    </row>
    <row r="16" ht="40.5" customHeight="1">
      <c r="A16" s="17" t="inlineStr">
        <is>
          <t>JS-08-13</t>
        </is>
      </c>
      <c r="B16" s="6" t="inlineStr">
        <is>
          <t>Apply flow</t>
        </is>
      </c>
      <c r="C16" s="6" t="inlineStr">
        <is>
          <t>Applying twice to the same job is impossible</t>
        </is>
      </c>
      <c r="D16" s="25" t="inlineStr">
        <is>
          <t>Negative</t>
        </is>
      </c>
      <c r="E16" s="19" t="inlineStr">
        <is>
          <t>High</t>
        </is>
      </c>
      <c r="F16" s="6" t="inlineStr">
        <is>
          <t>You already applied to job X.</t>
        </is>
      </c>
      <c r="G16" s="6" t="inlineStr">
        <is>
          <t>1. Open job X again and try to apply.
2. Ask a developer to POST the same application to the API a second time.
3. Ask the company tester to count your cards on that job.</t>
        </is>
      </c>
      <c r="H16" s="6" t="inlineStr">
        <is>
          <t>-</t>
        </is>
      </c>
      <c r="I16" s="6" t="inlineStr">
        <is>
          <t>The screen shows your existing application instead of a new apply form.
The API refuses the duplicate.
The employer sees exactly ONE card from you, never two.</t>
        </is>
      </c>
      <c r="J16" s="20" t="inlineStr"/>
      <c r="K16" s="21" t="inlineStr"/>
      <c r="L16" s="20" t="inlineStr"/>
      <c r="M16" s="21" t="inlineStr"/>
      <c r="N16" s="20" t="inlineStr"/>
    </row>
    <row r="17" ht="28" customHeight="1">
      <c r="A17" s="22" t="inlineStr">
        <is>
          <t>JS-08-14</t>
        </is>
      </c>
      <c r="B17" s="23" t="inlineStr">
        <is>
          <t>Apply flow</t>
        </is>
      </c>
      <c r="C17" s="23" t="inlineStr">
        <is>
          <t>You cannot apply to a job that is closed, hidden or past its deadline</t>
        </is>
      </c>
      <c r="D17" s="25" t="inlineStr">
        <is>
          <t>Negative</t>
        </is>
      </c>
      <c r="E17" s="19" t="inlineStr">
        <is>
          <t>High</t>
        </is>
      </c>
      <c r="F17" s="23" t="inlineStr">
        <is>
          <t>Prepare three jobs: one Closed, one Open but Exposure Off, one whose deadline has passed.</t>
        </is>
      </c>
      <c r="G17" s="23" t="inlineStr">
        <is>
          <t>1. Try to apply to each of the three from the screen.
2. Ask a developer to POST an application to each of the three job ids directly.</t>
        </is>
      </c>
      <c r="H17" s="23" t="inlineStr">
        <is>
          <t>3 job ids</t>
        </is>
      </c>
      <c r="I17" s="23" t="inlineStr">
        <is>
          <t>All three are refused, both on screen and by the API.
A clear reason is shown in each case.</t>
        </is>
      </c>
      <c r="J17" s="20" t="inlineStr"/>
      <c r="K17" s="21" t="inlineStr"/>
      <c r="L17" s="20" t="inlineStr"/>
      <c r="M17" s="21" t="inlineStr"/>
      <c r="N17" s="20" t="inlineStr"/>
    </row>
    <row r="18" ht="28" customHeight="1">
      <c r="A18" s="17" t="inlineStr">
        <is>
          <t>JS-08-15</t>
        </is>
      </c>
      <c r="B18" s="6" t="inlineStr">
        <is>
          <t>Apply flow</t>
        </is>
      </c>
      <c r="C18" s="6" t="inlineStr">
        <is>
          <t>A candidate with no CV is routed to create one, then back</t>
        </is>
      </c>
      <c r="D18" s="18" t="inlineStr">
        <is>
          <t>Positive</t>
        </is>
      </c>
      <c r="E18" s="19" t="inlineStr">
        <is>
          <t>High</t>
        </is>
      </c>
      <c r="F18" s="6" t="inlineStr">
        <is>
          <t>You are signed in with NO CV.</t>
        </is>
      </c>
      <c r="G18" s="6" t="inlineStr">
        <is>
          <t>1. Open an Open job and click Apply.</t>
        </is>
      </c>
      <c r="H18" s="6" t="inlineStr">
        <is>
          <t>-</t>
        </is>
      </c>
      <c r="I18" s="6" t="inlineStr">
        <is>
          <t>You are routed to Create CV instead of into an empty apply form.
After finishing the CV you return to the same job with the new CV already selected.</t>
        </is>
      </c>
      <c r="J18" s="20" t="inlineStr"/>
      <c r="K18" s="21" t="inlineStr"/>
      <c r="L18" s="20" t="inlineStr"/>
      <c r="M18" s="21" t="inlineStr"/>
      <c r="N18" s="20" t="inlineStr"/>
    </row>
    <row r="19" ht="28" customHeight="1">
      <c r="A19" s="22" t="inlineStr">
        <is>
          <t>JS-08-16</t>
        </is>
      </c>
      <c r="B19" s="23" t="inlineStr">
        <is>
          <t>Apply flow</t>
        </is>
      </c>
      <c r="C19" s="23" t="inlineStr">
        <is>
          <t>A not-yet-verified account cannot apply</t>
        </is>
      </c>
      <c r="D19" s="25" t="inlineStr">
        <is>
          <t>Negative</t>
        </is>
      </c>
      <c r="E19" s="19" t="inlineStr">
        <is>
          <t>High</t>
        </is>
      </c>
      <c r="F19" s="23" t="inlineStr">
        <is>
          <t>You are signed in with an account still on 'Pending verification'.</t>
        </is>
      </c>
      <c r="G19" s="23" t="inlineStr">
        <is>
          <t>1. Open an Open job and click Apply.</t>
        </is>
      </c>
      <c r="H19" s="23" t="inlineStr">
        <is>
          <t>-</t>
        </is>
      </c>
      <c r="I19" s="23" t="inlineStr">
        <is>
          <t>Applying is blocked and the verification prompt opens with a resend action.
It is not a bare error message.</t>
        </is>
      </c>
      <c r="J19" s="20" t="inlineStr"/>
      <c r="K19" s="21" t="inlineStr"/>
      <c r="L19" s="20" t="inlineStr"/>
      <c r="M19" s="21" t="inlineStr"/>
      <c r="N19" s="20" t="inlineStr"/>
    </row>
    <row r="20" ht="40.5" customHeight="1">
      <c r="A20" s="17" t="inlineStr">
        <is>
          <t>JS-08-17</t>
        </is>
      </c>
      <c r="B20" s="6" t="inlineStr">
        <is>
          <t>Apply flow</t>
        </is>
      </c>
      <c r="C20" s="6" t="inlineStr">
        <is>
          <t>The employer keeps the CV as it was on the day you applied</t>
        </is>
      </c>
      <c r="D20" s="26" t="inlineStr">
        <is>
          <t>Edge</t>
        </is>
      </c>
      <c r="E20" s="19" t="inlineStr">
        <is>
          <t>High</t>
        </is>
      </c>
      <c r="F20" s="6" t="inlineStr">
        <is>
          <t>You applied to a job with CV 'A'.</t>
        </is>
      </c>
      <c r="G20" s="6" t="inlineStr">
        <is>
          <t>1. Edit CV 'A' heavily (change the title, delete a job, add skills) and save.
2. Ask the company tester to open your application and read the CV.
3. Open My applications → that application and read the CV shown.</t>
        </is>
      </c>
      <c r="H20" s="6" t="inlineStr">
        <is>
          <t>-</t>
        </is>
      </c>
      <c r="I20" s="6" t="inlineStr">
        <is>
          <t>The employer still sees the CV as it was when you applied — your later edits did NOT change what they received.
My applications shows you that same snapshot.</t>
        </is>
      </c>
      <c r="J20" s="20" t="inlineStr"/>
      <c r="K20" s="21" t="inlineStr"/>
      <c r="L20" s="20" t="inlineStr"/>
      <c r="M20" s="21" t="inlineStr"/>
      <c r="N20" s="20" t="inlineStr"/>
    </row>
    <row r="21" ht="28" customHeight="1">
      <c r="A21" s="22" t="inlineStr">
        <is>
          <t>JS-08-18</t>
        </is>
      </c>
      <c r="B21" s="23" t="inlineStr">
        <is>
          <t>Apply flow</t>
        </is>
      </c>
      <c r="C21" s="23" t="inlineStr">
        <is>
          <t>Changing your phone number reaches employers on applications already sent</t>
        </is>
      </c>
      <c r="D21" s="26" t="inlineStr">
        <is>
          <t>Edge</t>
        </is>
      </c>
      <c r="E21" s="19" t="inlineStr">
        <is>
          <t>High</t>
        </is>
      </c>
      <c r="F21" s="23" t="inlineStr">
        <is>
          <t>You have one application already sent.</t>
        </is>
      </c>
      <c r="G21" s="23" t="inlineStr">
        <is>
          <t>1. Go to My page and change the phone number.
2. Ask the company tester to re-open your existing application and read the phone.</t>
        </is>
      </c>
      <c r="H21" s="23" t="inlineStr">
        <is>
          <t>New phone: 0912000111</t>
        </is>
      </c>
      <c r="I21" s="23" t="inlineStr">
        <is>
          <t>The employer sees the NEW phone number on the application that was already sent.
(Contact details resolve live; only the CV is a snapshot. Note this is a decision awaiting client sign-off — record what you see.)</t>
        </is>
      </c>
      <c r="J21" s="20" t="inlineStr"/>
      <c r="K21" s="21" t="inlineStr"/>
      <c r="L21" s="20" t="inlineStr"/>
      <c r="M21" s="21" t="inlineStr"/>
      <c r="N21" s="20" t="inlineStr"/>
    </row>
    <row r="22" ht="28" customHeight="1">
      <c r="A22" s="17" t="inlineStr">
        <is>
          <t>JS-08-19</t>
        </is>
      </c>
      <c r="B22" s="6" t="inlineStr">
        <is>
          <t>Apply flow</t>
        </is>
      </c>
      <c r="C22" s="6" t="inlineStr">
        <is>
          <t>The people set as recipients get an email about the application</t>
        </is>
      </c>
      <c r="D22" s="18" t="inlineStr">
        <is>
          <t>Positive</t>
        </is>
      </c>
      <c r="E22" s="24" t="inlineStr">
        <is>
          <t>Medium</t>
        </is>
      </c>
      <c r="F22" s="6" t="inlineStr">
        <is>
          <t>The job was created with one or more application recipient emails you can open.</t>
        </is>
      </c>
      <c r="G22" s="6" t="inlineStr">
        <is>
          <t>1. Submit an application to that job.
2. Open each recipient inbox.</t>
        </is>
      </c>
      <c r="H22" s="6" t="inlineStr">
        <is>
          <t>-</t>
        </is>
      </c>
      <c r="I22" s="6" t="inlineStr">
        <is>
          <t>Each recipient email address receives a notification about the new application.
The named contact person shown to you as the candidate matches the one set on the job.</t>
        </is>
      </c>
      <c r="J22" s="20" t="inlineStr"/>
      <c r="K22" s="21" t="inlineStr"/>
      <c r="L22" s="20" t="inlineStr"/>
      <c r="M22" s="21" t="inlineStr"/>
      <c r="N22" s="20" t="inlineStr"/>
    </row>
    <row r="23" ht="40.5" customHeight="1">
      <c r="A23" s="22" t="inlineStr">
        <is>
          <t>JS-08-20</t>
        </is>
      </c>
      <c r="B23" s="23" t="inlineStr">
        <is>
          <t>Apply flow</t>
        </is>
      </c>
      <c r="C23" s="23" t="inlineStr">
        <is>
          <t>Uploading a CV inside the apply screen also saves it to My CVs</t>
        </is>
      </c>
      <c r="D23" s="18" t="inlineStr">
        <is>
          <t>Positive</t>
        </is>
      </c>
      <c r="E23" s="24" t="inlineStr">
        <is>
          <t>Medium</t>
        </is>
      </c>
      <c r="F23" s="23" t="inlineStr">
        <is>
          <t>You are on the apply screen.</t>
        </is>
      </c>
      <c r="G23" s="23" t="inlineStr">
        <is>
          <t>1. Use the inline upload to add a new CV file.
2. Submit the application.
3. Go to My CVs.</t>
        </is>
      </c>
      <c r="H23" s="23" t="inlineStr">
        <is>
          <t>any valid CV PDF</t>
        </is>
      </c>
      <c r="I23" s="23" t="inlineStr">
        <is>
          <t>The uploaded file is in My CVs as a normal CV — it is not a one-off file attached to a single application.</t>
        </is>
      </c>
      <c r="J23" s="20" t="inlineStr"/>
      <c r="K23" s="21" t="inlineStr"/>
      <c r="L23" s="20" t="inlineStr"/>
      <c r="M23" s="21" t="inlineStr"/>
      <c r="N23" s="20" t="inlineStr"/>
    </row>
  </sheetData>
  <autoFilter ref="A3:N23"/>
  <mergeCells count="2">
    <mergeCell ref="A2:N2"/>
    <mergeCell ref="A1:N1"/>
  </mergeCells>
  <dataValidations count="1">
    <dataValidation sqref="K4:K23"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JS-09 · My applications (tracking what happens after you apply)</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28" customHeight="1">
      <c r="A4" s="17" t="inlineStr">
        <is>
          <t>JS-09-01</t>
        </is>
      </c>
      <c r="B4" s="6" t="inlineStr">
        <is>
          <t>My applications</t>
        </is>
      </c>
      <c r="C4" s="6" t="inlineStr">
        <is>
          <t>Every application you sent is listed with the right details</t>
        </is>
      </c>
      <c r="D4" s="18" t="inlineStr">
        <is>
          <t>Positive</t>
        </is>
      </c>
      <c r="E4" s="19" t="inlineStr">
        <is>
          <t>High</t>
        </is>
      </c>
      <c r="F4" s="6" t="inlineStr">
        <is>
          <t>You have applied to 2 or 3 jobs.</t>
        </is>
      </c>
      <c r="G4" s="6" t="inlineStr">
        <is>
          <t>1. Go to My account → My applications.
2. Check each row.</t>
        </is>
      </c>
      <c r="H4" s="6" t="inlineStr">
        <is>
          <t>-</t>
        </is>
      </c>
      <c r="I4" s="6" t="inlineStr">
        <is>
          <t>Every application you sent is listed.
Each row shows the job title, the company, the date you applied, WHICH CV was sent, and a status chip.</t>
        </is>
      </c>
      <c r="J4" s="20" t="inlineStr"/>
      <c r="K4" s="21" t="inlineStr"/>
      <c r="L4" s="20" t="inlineStr"/>
      <c r="M4" s="21" t="inlineStr"/>
      <c r="N4" s="20" t="inlineStr"/>
    </row>
    <row r="5" ht="40.5" customHeight="1">
      <c r="A5" s="22" t="inlineStr">
        <is>
          <t>JS-09-02</t>
        </is>
      </c>
      <c r="B5" s="23" t="inlineStr">
        <is>
          <t>My applications</t>
        </is>
      </c>
      <c r="C5" s="23" t="inlineStr">
        <is>
          <t>The filter tabs work</t>
        </is>
      </c>
      <c r="D5" s="18" t="inlineStr">
        <is>
          <t>Positive</t>
        </is>
      </c>
      <c r="E5" s="24" t="inlineStr">
        <is>
          <t>Medium</t>
        </is>
      </c>
      <c r="F5" s="23" t="inlineStr">
        <is>
          <t>You have applications in different stages (ask the company tester to move one to Hired and one to Rejected).</t>
        </is>
      </c>
      <c r="G5" s="23" t="inlineStr">
        <is>
          <t>1. Click 'All'.
2. Click 'In progress'.
3. Click 'Closed'.</t>
        </is>
      </c>
      <c r="H5" s="23" t="inlineStr">
        <is>
          <t>-</t>
        </is>
      </c>
      <c r="I5" s="23" t="inlineStr">
        <is>
          <t>'In progress' shows only applications still moving.
'Closed' shows the finished ones (Hired / Not selected).
'All' shows everything.</t>
        </is>
      </c>
      <c r="J5" s="20" t="inlineStr"/>
      <c r="K5" s="21" t="inlineStr"/>
      <c r="L5" s="20" t="inlineStr"/>
      <c r="M5" s="21" t="inlineStr"/>
      <c r="N5" s="20" t="inlineStr"/>
    </row>
    <row r="6" ht="67.5" customHeight="1">
      <c r="A6" s="17" t="inlineStr">
        <is>
          <t>JS-09-03</t>
        </is>
      </c>
      <c r="B6" s="6" t="inlineStr">
        <is>
          <t>My applications</t>
        </is>
      </c>
      <c r="C6" s="6" t="inlineStr">
        <is>
          <t>The status you see matches the stage the employer set</t>
        </is>
      </c>
      <c r="D6" s="18" t="inlineStr">
        <is>
          <t>Positive</t>
        </is>
      </c>
      <c r="E6" s="19" t="inlineStr">
        <is>
          <t>High</t>
        </is>
      </c>
      <c r="F6" s="6" t="inlineStr">
        <is>
          <t>You have one application on an employer's board.</t>
        </is>
      </c>
      <c r="G6" s="6" t="inlineStr">
        <is>
          <t>1. Note the status shown to you now.
2. Ask the company tester to move your card to 'Reviewing'. Refresh My applications.
3. Ask them to move it to 'Shortlisted'. Refresh.
4. Ask them to move it to 'Interview'. Refresh.
5. Ask them to move it to 'Hired'. Refresh.</t>
        </is>
      </c>
      <c r="H6" s="6" t="inlineStr">
        <is>
          <t>-</t>
        </is>
      </c>
      <c r="I6" s="6" t="inlineStr">
        <is>
          <t>Your status follows theirs each time: New → 'Sent to employer', then Reviewing, Shortlisted, Interview, Hired.
It never shows something the employer disagrees with.</t>
        </is>
      </c>
      <c r="J6" s="20" t="inlineStr"/>
      <c r="K6" s="21" t="inlineStr"/>
      <c r="L6" s="20" t="inlineStr"/>
      <c r="M6" s="21" t="inlineStr"/>
      <c r="N6" s="20" t="inlineStr"/>
    </row>
    <row r="7" ht="28" customHeight="1">
      <c r="A7" s="22" t="inlineStr">
        <is>
          <t>JS-09-04</t>
        </is>
      </c>
      <c r="B7" s="23" t="inlineStr">
        <is>
          <t>My applications</t>
        </is>
      </c>
      <c r="C7" s="23" t="inlineStr">
        <is>
          <t>A rejected application reads as 'Not selected' with no reason shown</t>
        </is>
      </c>
      <c r="D7" s="18" t="inlineStr">
        <is>
          <t>Positive</t>
        </is>
      </c>
      <c r="E7" s="19" t="inlineStr">
        <is>
          <t>High</t>
        </is>
      </c>
      <c r="F7" s="23" t="inlineStr">
        <is>
          <t>Ask the company tester to move your card to Rejected and type a rejection reason.</t>
        </is>
      </c>
      <c r="G7" s="23" t="inlineStr">
        <is>
          <t>1. Refresh My applications and open that application.</t>
        </is>
      </c>
      <c r="H7" s="23" t="inlineStr">
        <is>
          <t>Employer reason: 'Not enough experience'</t>
        </is>
      </c>
      <c r="I7" s="23" t="inlineStr">
        <is>
          <t>Your status reads 'Not selected'.
The employer's reason text is NOT shown to you anywhere.</t>
        </is>
      </c>
      <c r="J7" s="20" t="inlineStr"/>
      <c r="K7" s="21" t="inlineStr"/>
      <c r="L7" s="20" t="inlineStr"/>
      <c r="M7" s="21" t="inlineStr"/>
      <c r="N7" s="20" t="inlineStr"/>
    </row>
    <row r="8" ht="28" customHeight="1">
      <c r="A8" s="17" t="inlineStr">
        <is>
          <t>JS-09-05</t>
        </is>
      </c>
      <c r="B8" s="6" t="inlineStr">
        <is>
          <t>My applications</t>
        </is>
      </c>
      <c r="C8" s="6" t="inlineStr">
        <is>
          <t>The detail shows the CV that was sent and a progress timeline</t>
        </is>
      </c>
      <c r="D8" s="18" t="inlineStr">
        <is>
          <t>Positive</t>
        </is>
      </c>
      <c r="E8" s="19" t="inlineStr">
        <is>
          <t>High</t>
        </is>
      </c>
      <c r="F8" s="6" t="inlineStr">
        <is>
          <t>You have at least one application.</t>
        </is>
      </c>
      <c r="G8" s="6" t="inlineStr">
        <is>
          <t>1. Click a row to open the detail.</t>
        </is>
      </c>
      <c r="H8" s="6" t="inlineStr">
        <is>
          <t>-</t>
        </is>
      </c>
      <c r="I8" s="6" t="inlineStr">
        <is>
          <t>The detail shows the CV SNAPSHOT that was actually sent (with a note that later edits do not change it) and a progress timeline of what has happened so far.</t>
        </is>
      </c>
      <c r="J8" s="20" t="inlineStr"/>
      <c r="K8" s="21" t="inlineStr"/>
      <c r="L8" s="20" t="inlineStr"/>
      <c r="M8" s="21" t="inlineStr"/>
      <c r="N8" s="20" t="inlineStr"/>
    </row>
    <row r="9" ht="28" customHeight="1">
      <c r="A9" s="22" t="inlineStr">
        <is>
          <t>JS-09-06</t>
        </is>
      </c>
      <c r="B9" s="23" t="inlineStr">
        <is>
          <t>My applications</t>
        </is>
      </c>
      <c r="C9" s="23" t="inlineStr">
        <is>
          <t>Nothing private from the employer leaks into your view</t>
        </is>
      </c>
      <c r="D9" s="25" t="inlineStr">
        <is>
          <t>Negative</t>
        </is>
      </c>
      <c r="E9" s="19" t="inlineStr">
        <is>
          <t>High</t>
        </is>
      </c>
      <c r="F9" s="23" t="inlineStr">
        <is>
          <t>The company tester has written an internal note on your application and a rejection reason.</t>
        </is>
      </c>
      <c r="G9" s="23" t="inlineStr">
        <is>
          <t>1. Open the application detail on your side.
2. Ask a developer to show you the raw API response for that application.</t>
        </is>
      </c>
      <c r="H9" s="23" t="inlineStr">
        <is>
          <t>-</t>
        </is>
      </c>
      <c r="I9" s="23" t="inlineStr">
        <is>
          <t>Neither the internal note nor the rejection reason appears on screen OR anywhere in the API response.
If either is in the response, mark Fail even though the screen does not show it.</t>
        </is>
      </c>
      <c r="J9" s="20" t="inlineStr"/>
      <c r="K9" s="21" t="inlineStr"/>
      <c r="L9" s="20" t="inlineStr"/>
      <c r="M9" s="21" t="inlineStr"/>
      <c r="N9" s="20" t="inlineStr"/>
    </row>
    <row r="10" ht="28" customHeight="1">
      <c r="A10" s="17" t="inlineStr">
        <is>
          <t>JS-09-07</t>
        </is>
      </c>
      <c r="B10" s="6" t="inlineStr">
        <is>
          <t>My applications</t>
        </is>
      </c>
      <c r="C10" s="6" t="inlineStr">
        <is>
          <t>A job that has since closed still opens from your list</t>
        </is>
      </c>
      <c r="D10" s="26" t="inlineStr">
        <is>
          <t>Edge</t>
        </is>
      </c>
      <c r="E10" s="24" t="inlineStr">
        <is>
          <t>Medium</t>
        </is>
      </c>
      <c r="F10" s="6" t="inlineStr">
        <is>
          <t>You applied to a job that has now closed.</t>
        </is>
      </c>
      <c r="G10" s="6" t="inlineStr">
        <is>
          <t>1. Open My applications.
2. Click the job title on that row.</t>
        </is>
      </c>
      <c r="H10" s="6" t="inlineStr">
        <is>
          <t>-</t>
        </is>
      </c>
      <c r="I10" s="6" t="inlineStr">
        <is>
          <t>The row is still there and the link still works — it opens the (closed) job page.
It is never a dead link or an error.</t>
        </is>
      </c>
      <c r="J10" s="20" t="inlineStr"/>
      <c r="K10" s="21" t="inlineStr"/>
      <c r="L10" s="20" t="inlineStr"/>
      <c r="M10" s="21" t="inlineStr"/>
      <c r="N10" s="20" t="inlineStr"/>
    </row>
    <row r="11" ht="28" customHeight="1">
      <c r="A11" s="22" t="inlineStr">
        <is>
          <t>JS-09-08</t>
        </is>
      </c>
      <c r="B11" s="23" t="inlineStr">
        <is>
          <t>My applications</t>
        </is>
      </c>
      <c r="C11" s="23" t="inlineStr">
        <is>
          <t>Empty state invites you to search for jobs</t>
        </is>
      </c>
      <c r="D11" s="18" t="inlineStr">
        <is>
          <t>Positive</t>
        </is>
      </c>
      <c r="E11" s="27" t="inlineStr">
        <is>
          <t>Low</t>
        </is>
      </c>
      <c r="F11" s="23" t="inlineStr">
        <is>
          <t>You are signed in with a brand new account that has never applied.</t>
        </is>
      </c>
      <c r="G11" s="23" t="inlineStr">
        <is>
          <t>1. Open My applications.</t>
        </is>
      </c>
      <c r="H11" s="23" t="inlineStr">
        <is>
          <t>-</t>
        </is>
      </c>
      <c r="I11" s="23" t="inlineStr">
        <is>
          <t>A friendly empty state is shown with a button to search for jobs — not a blank page.</t>
        </is>
      </c>
      <c r="J11" s="20" t="inlineStr"/>
      <c r="K11" s="21" t="inlineStr"/>
      <c r="L11" s="20" t="inlineStr"/>
      <c r="M11" s="21" t="inlineStr"/>
      <c r="N11" s="20" t="inlineStr"/>
    </row>
    <row r="12" ht="40.5" customHeight="1">
      <c r="A12" s="17" t="inlineStr">
        <is>
          <t>JS-09-09</t>
        </is>
      </c>
      <c r="B12" s="6" t="inlineStr">
        <is>
          <t>My applications</t>
        </is>
      </c>
      <c r="C12" s="6" t="inlineStr">
        <is>
          <t>You cannot see anyone else's applications</t>
        </is>
      </c>
      <c r="D12" s="25" t="inlineStr">
        <is>
          <t>Negative</t>
        </is>
      </c>
      <c r="E12" s="19" t="inlineStr">
        <is>
          <t>High</t>
        </is>
      </c>
      <c r="F12" s="6" t="inlineStr">
        <is>
          <t>You have two jobseeker accounts, A and B. B has an application. Get its id from a developer.</t>
        </is>
      </c>
      <c r="G12" s="6" t="inlineStr">
        <is>
          <t>1. Sign in as A.
2. Open the URL of B's application.
3. Ask a developer to call the application endpoint with B's id while signed in as A.</t>
        </is>
      </c>
      <c r="H12" s="6" t="inlineStr">
        <is>
          <t>B's application id</t>
        </is>
      </c>
      <c r="I12" s="6" t="inlineStr">
        <is>
          <t>Access is refused on the screen and from the API.</t>
        </is>
      </c>
      <c r="J12" s="20" t="inlineStr"/>
      <c r="K12" s="21" t="inlineStr"/>
      <c r="L12" s="20" t="inlineStr"/>
      <c r="M12" s="21" t="inlineStr"/>
      <c r="N12" s="20" t="inlineStr"/>
    </row>
    <row r="13" ht="40.5" customHeight="1">
      <c r="A13" s="22" t="inlineStr">
        <is>
          <t>JS-09-10</t>
        </is>
      </c>
      <c r="B13" s="23" t="inlineStr">
        <is>
          <t>My applications</t>
        </is>
      </c>
      <c r="C13" s="23" t="inlineStr">
        <is>
          <t>Withdraw an application (if it is in this release)</t>
        </is>
      </c>
      <c r="D13" s="18" t="inlineStr">
        <is>
          <t>Positive</t>
        </is>
      </c>
      <c r="E13" s="24" t="inlineStr">
        <is>
          <t>Medium</t>
        </is>
      </c>
      <c r="F13" s="23" t="inlineStr">
        <is>
          <t>You have an application still in progress.</t>
        </is>
      </c>
      <c r="G13" s="23" t="inlineStr">
        <is>
          <t>1. Open the application detail.
2. Look for 'Withdraw application'.
3. If it exists, use it and then check the employer's board.</t>
        </is>
      </c>
      <c r="H13" s="23" t="inlineStr">
        <is>
          <t>-</t>
        </is>
      </c>
      <c r="I13" s="23" t="inlineStr">
        <is>
          <t>If the button exists: the application is withdrawn and the employer no longer has it on their board.
If the button does NOT exist, mark this Blocked and write in Notes — the team has an open question about whether withdraw ships in Phase-1.</t>
        </is>
      </c>
      <c r="J13" s="20" t="inlineStr"/>
      <c r="K13" s="21" t="inlineStr"/>
      <c r="L13" s="20" t="inlineStr"/>
      <c r="M13" s="21" t="inlineStr"/>
      <c r="N13" s="20" t="inlineStr"/>
    </row>
  </sheetData>
  <autoFilter ref="A3:N13"/>
  <mergeCells count="2">
    <mergeCell ref="A2:N2"/>
    <mergeCell ref="A1:N1"/>
  </mergeCells>
  <dataValidations count="1">
    <dataValidation sqref="K4:K13"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JS-10 · My page, profile settings and deactivating the account</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28" customHeight="1">
      <c r="A4" s="17" t="inlineStr">
        <is>
          <t>JS-10-01</t>
        </is>
      </c>
      <c r="B4" s="6" t="inlineStr">
        <is>
          <t>My page</t>
        </is>
      </c>
      <c r="C4" s="6" t="inlineStr">
        <is>
          <t>My page shows profile, contact, preferences and completeness</t>
        </is>
      </c>
      <c r="D4" s="18" t="inlineStr">
        <is>
          <t>Positive</t>
        </is>
      </c>
      <c r="E4" s="19" t="inlineStr">
        <is>
          <t>High</t>
        </is>
      </c>
      <c r="F4" s="6" t="inlineStr">
        <is>
          <t>You are signed in with a complete profile.</t>
        </is>
      </c>
      <c r="G4" s="6" t="inlineStr">
        <is>
          <t>1. Go to My page.
2. Read every block on the page.</t>
        </is>
      </c>
      <c r="H4" s="6" t="inlineStr">
        <is>
          <t>-</t>
        </is>
      </c>
      <c r="I4" s="6" t="inlineStr">
        <is>
          <t>You can see: avatar and profile fields, contact (email, phone), job preferences (desired role, locations, salary, availability, job type), account &amp; privacy, and a completeness signal.
Shortcuts to My CVs, My applications and Saved jobs show counts.</t>
        </is>
      </c>
      <c r="J4" s="20" t="inlineStr"/>
      <c r="K4" s="21" t="inlineStr"/>
      <c r="L4" s="20" t="inlineStr"/>
      <c r="M4" s="21" t="inlineStr"/>
      <c r="N4" s="20" t="inlineStr"/>
    </row>
    <row r="5" ht="40.5" customHeight="1">
      <c r="A5" s="22" t="inlineStr">
        <is>
          <t>JS-10-02</t>
        </is>
      </c>
      <c r="B5" s="23" t="inlineStr">
        <is>
          <t>My page</t>
        </is>
      </c>
      <c r="C5" s="23" t="inlineStr">
        <is>
          <t>Avatar upload works and rejects an oversized image</t>
        </is>
      </c>
      <c r="D5" s="25" t="inlineStr">
        <is>
          <t>Negative</t>
        </is>
      </c>
      <c r="E5" s="24" t="inlineStr">
        <is>
          <t>Medium</t>
        </is>
      </c>
      <c r="F5" s="23" t="inlineStr">
        <is>
          <t>You have a small photo (under 2MB) and a very large one (over 2MB).</t>
        </is>
      </c>
      <c r="G5" s="23" t="inlineStr">
        <is>
          <t>1. Upload the small photo and crop it.
2. Save.
3. Try to upload the large one.</t>
        </is>
      </c>
      <c r="H5" s="23" t="inlineStr">
        <is>
          <t>2 image files</t>
        </is>
      </c>
      <c r="I5" s="23" t="inlineStr">
        <is>
          <t>The small photo is cropped and saved and appears as your avatar.
The large one is refused BEFORE uploading, with a clear size message.</t>
        </is>
      </c>
      <c r="J5" s="20" t="inlineStr"/>
      <c r="K5" s="21" t="inlineStr"/>
      <c r="L5" s="20" t="inlineStr"/>
      <c r="M5" s="21" t="inlineStr"/>
      <c r="N5" s="20" t="inlineStr"/>
    </row>
    <row r="6" ht="28" customHeight="1">
      <c r="A6" s="17" t="inlineStr">
        <is>
          <t>JS-10-03</t>
        </is>
      </c>
      <c r="B6" s="6" t="inlineStr">
        <is>
          <t>My page</t>
        </is>
      </c>
      <c r="C6" s="6" t="inlineStr">
        <is>
          <t>Edits are saved per section, and leaving with unsaved changes warns you</t>
        </is>
      </c>
      <c r="D6" s="18" t="inlineStr">
        <is>
          <t>Positive</t>
        </is>
      </c>
      <c r="E6" s="24" t="inlineStr">
        <is>
          <t>Medium</t>
        </is>
      </c>
      <c r="F6" s="6" t="inlineStr">
        <is>
          <t>You are on My page.</t>
        </is>
      </c>
      <c r="G6" s="6" t="inlineStr">
        <is>
          <t>1. Change a field in the Job preferences section but do NOT save.
2. Try to navigate to another page.</t>
        </is>
      </c>
      <c r="H6" s="6" t="inlineStr">
        <is>
          <t>-</t>
        </is>
      </c>
      <c r="I6" s="6" t="inlineStr">
        <is>
          <t>A prompt warns you about unsaved changes and lets you go back or discard.
Saving is per section, with an explicit Save.</t>
        </is>
      </c>
      <c r="J6" s="20" t="inlineStr"/>
      <c r="K6" s="21" t="inlineStr"/>
      <c r="L6" s="20" t="inlineStr"/>
      <c r="M6" s="21" t="inlineStr"/>
      <c r="N6" s="20" t="inlineStr"/>
    </row>
    <row r="7" ht="67.5" customHeight="1">
      <c r="A7" s="22" t="inlineStr">
        <is>
          <t>JS-10-04</t>
        </is>
      </c>
      <c r="B7" s="23" t="inlineStr">
        <is>
          <t>My page</t>
        </is>
      </c>
      <c r="C7" s="23" t="inlineStr">
        <is>
          <t>Changing your login email verifies the NEW address first</t>
        </is>
      </c>
      <c r="D7" s="26" t="inlineStr">
        <is>
          <t>Edge</t>
        </is>
      </c>
      <c r="E7" s="19" t="inlineStr">
        <is>
          <t>High</t>
        </is>
      </c>
      <c r="F7" s="23" t="inlineStr">
        <is>
          <t>You have an email + password account and can open two mailboxes.</t>
        </is>
      </c>
      <c r="G7" s="23" t="inlineStr">
        <is>
          <t>1. Change the email to a second address you control.
2. Save.
3. Before clicking the link, sign out and sign in with the OLD email.
4. Now click the link in the new mailbox.
5. Sign out and sign in with the NEW email.</t>
        </is>
      </c>
      <c r="H7" s="23" t="inlineStr">
        <is>
          <t>Two mailboxes you control</t>
        </is>
      </c>
      <c r="I7" s="23" t="inlineStr">
        <is>
          <t>A verification link is sent to the NEW address.
Until it is clicked, the OLD email still signs you in.
After clicking, the NEW email signs you in.</t>
        </is>
      </c>
      <c r="J7" s="20" t="inlineStr"/>
      <c r="K7" s="21" t="inlineStr"/>
      <c r="L7" s="20" t="inlineStr"/>
      <c r="M7" s="21" t="inlineStr"/>
      <c r="N7" s="20" t="inlineStr"/>
    </row>
    <row r="8" ht="40.5" customHeight="1">
      <c r="A8" s="17" t="inlineStr">
        <is>
          <t>JS-10-05</t>
        </is>
      </c>
      <c r="B8" s="6" t="inlineStr">
        <is>
          <t>My page</t>
        </is>
      </c>
      <c r="C8" s="6" t="inlineStr">
        <is>
          <t>Preferences use the same lists as the job form</t>
        </is>
      </c>
      <c r="D8" s="18" t="inlineStr">
        <is>
          <t>Positive</t>
        </is>
      </c>
      <c r="E8" s="19" t="inlineStr">
        <is>
          <t>High</t>
        </is>
      </c>
      <c r="F8" s="6" t="inlineStr">
        <is>
          <t>You are on My page → Job preferences. An Admin tester can show you the job posting form.</t>
        </is>
      </c>
      <c r="G8" s="6" t="inlineStr">
        <is>
          <t>1. Open the Desired role / category list and note the options.
2. Ask the Admin tester to open the job create form and note its category / role options.
3. Compare the two lists.</t>
        </is>
      </c>
      <c r="H8" s="6" t="inlineStr">
        <is>
          <t>-</t>
        </is>
      </c>
      <c r="I8" s="6" t="inlineStr">
        <is>
          <t>Both screens offer the SAME options from the same master list.
If the wording differs, matching will silently fail — mark Fail and note the differences.</t>
        </is>
      </c>
      <c r="J8" s="20" t="inlineStr"/>
      <c r="K8" s="21" t="inlineStr"/>
      <c r="L8" s="20" t="inlineStr"/>
      <c r="M8" s="21" t="inlineStr"/>
      <c r="N8" s="20" t="inlineStr"/>
    </row>
    <row r="9" ht="28" customHeight="1">
      <c r="A9" s="22" t="inlineStr">
        <is>
          <t>JS-10-06</t>
        </is>
      </c>
      <c r="B9" s="23" t="inlineStr">
        <is>
          <t>My page</t>
        </is>
      </c>
      <c r="C9" s="23" t="inlineStr">
        <is>
          <t>Notification preferences save, and marketing is off unless you turn it on</t>
        </is>
      </c>
      <c r="D9" s="18" t="inlineStr">
        <is>
          <t>Positive</t>
        </is>
      </c>
      <c r="E9" s="24" t="inlineStr">
        <is>
          <t>Medium</t>
        </is>
      </c>
      <c r="F9" s="23" t="inlineStr">
        <is>
          <t>You have a new account.</t>
        </is>
      </c>
      <c r="G9" s="23" t="inlineStr">
        <is>
          <t>1. Open notification preferences and note the marketing switch.
2. Turn job alerts off, save, refresh the page.</t>
        </is>
      </c>
      <c r="H9" s="23" t="inlineStr">
        <is>
          <t>-</t>
        </is>
      </c>
      <c r="I9" s="23" t="inlineStr">
        <is>
          <t>Marketing is OFF by default (opt-in).
Any switch you change is still in the changed position after refreshing.</t>
        </is>
      </c>
      <c r="J9" s="20" t="inlineStr"/>
      <c r="K9" s="21" t="inlineStr"/>
      <c r="L9" s="20" t="inlineStr"/>
      <c r="M9" s="21" t="inlineStr"/>
      <c r="N9" s="20" t="inlineStr"/>
    </row>
    <row r="10" ht="40.5" customHeight="1">
      <c r="A10" s="17" t="inlineStr">
        <is>
          <t>JS-10-07</t>
        </is>
      </c>
      <c r="B10" s="6" t="inlineStr">
        <is>
          <t>My page</t>
        </is>
      </c>
      <c r="C10" s="6" t="inlineStr">
        <is>
          <t>A field that came from the CV is marked, and your correction wins</t>
        </is>
      </c>
      <c r="D10" s="18" t="inlineStr">
        <is>
          <t>Positive</t>
        </is>
      </c>
      <c r="E10" s="24" t="inlineStr">
        <is>
          <t>Medium</t>
        </is>
      </c>
      <c r="F10" s="6" t="inlineStr">
        <is>
          <t>You uploaded a CV that filled in your headline / current role.</t>
        </is>
      </c>
      <c r="G10" s="6" t="inlineStr">
        <is>
          <t>1. Find the field marked as coming from the CV.
2. Change it and save.
3. Re-run 'Fill profile from CV'.</t>
        </is>
      </c>
      <c r="H10" s="6" t="inlineStr">
        <is>
          <t>-</t>
        </is>
      </c>
      <c r="I10" s="6" t="inlineStr">
        <is>
          <t>The field is visibly marked as coming from the CV, and it is editable.
After you edit it, a later re-read does not silently overwrite your value.</t>
        </is>
      </c>
      <c r="J10" s="20" t="inlineStr"/>
      <c r="K10" s="21" t="inlineStr"/>
      <c r="L10" s="20" t="inlineStr"/>
      <c r="M10" s="21" t="inlineStr"/>
      <c r="N10" s="20" t="inlineStr"/>
    </row>
    <row r="11" ht="28" customHeight="1">
      <c r="A11" s="22" t="inlineStr">
        <is>
          <t>JS-10-08</t>
        </is>
      </c>
      <c r="B11" s="23" t="inlineStr">
        <is>
          <t>Deactivate</t>
        </is>
      </c>
      <c r="C11" s="23" t="inlineStr">
        <is>
          <t>Deactivate is reached from Account &amp; privacy, never as a one-tap menu item</t>
        </is>
      </c>
      <c r="D11" s="18" t="inlineStr">
        <is>
          <t>Positive</t>
        </is>
      </c>
      <c r="E11" s="19" t="inlineStr">
        <is>
          <t>High</t>
        </is>
      </c>
      <c r="F11" s="23" t="inlineStr">
        <is>
          <t>You are signed in.</t>
        </is>
      </c>
      <c r="G11" s="23" t="inlineStr">
        <is>
          <t>1. Look through the header menus for a deactivate action.
2. Go to My page → Account &amp; privacy.</t>
        </is>
      </c>
      <c r="H11" s="23" t="inlineStr">
        <is>
          <t>-</t>
        </is>
      </c>
      <c r="I11" s="23" t="inlineStr">
        <is>
          <t>There is no one-tap 'Deactivate' in a menu.
It is a link inside Account &amp; privacy.</t>
        </is>
      </c>
      <c r="J11" s="20" t="inlineStr"/>
      <c r="K11" s="21" t="inlineStr"/>
      <c r="L11" s="20" t="inlineStr"/>
      <c r="M11" s="21" t="inlineStr"/>
      <c r="N11" s="20" t="inlineStr"/>
    </row>
    <row r="12" ht="28" customHeight="1">
      <c r="A12" s="17" t="inlineStr">
        <is>
          <t>JS-10-09</t>
        </is>
      </c>
      <c r="B12" s="6" t="inlineStr">
        <is>
          <t>Deactivate</t>
        </is>
      </c>
      <c r="C12" s="6" t="inlineStr">
        <is>
          <t>Lighter alternatives are offered before the confirm step</t>
        </is>
      </c>
      <c r="D12" s="18" t="inlineStr">
        <is>
          <t>Positive</t>
        </is>
      </c>
      <c r="E12" s="19" t="inlineStr">
        <is>
          <t>High</t>
        </is>
      </c>
      <c r="F12" s="6" t="inlineStr">
        <is>
          <t>You clicked Deactivate account.</t>
        </is>
      </c>
      <c r="G12" s="6" t="inlineStr">
        <is>
          <t>1. Read the first screen carefully.</t>
        </is>
      </c>
      <c r="H12" s="6" t="inlineStr">
        <is>
          <t>-</t>
        </is>
      </c>
      <c r="I12" s="6" t="inlineStr">
        <is>
          <t>Before the confirm step you are offered the lighter options that solve most cases: hide your CV from employers, or turn notifications off.</t>
        </is>
      </c>
      <c r="J12" s="20" t="inlineStr"/>
      <c r="K12" s="21" t="inlineStr"/>
      <c r="L12" s="20" t="inlineStr"/>
      <c r="M12" s="21" t="inlineStr"/>
      <c r="N12" s="20" t="inlineStr"/>
    </row>
    <row r="13" ht="40.5" customHeight="1">
      <c r="A13" s="22" t="inlineStr">
        <is>
          <t>JS-10-10</t>
        </is>
      </c>
      <c r="B13" s="23" t="inlineStr">
        <is>
          <t>Deactivate</t>
        </is>
      </c>
      <c r="C13" s="23" t="inlineStr">
        <is>
          <t>The consequences are shown BEFORE the confirm control</t>
        </is>
      </c>
      <c r="D13" s="18" t="inlineStr">
        <is>
          <t>Positive</t>
        </is>
      </c>
      <c r="E13" s="19" t="inlineStr">
        <is>
          <t>High</t>
        </is>
      </c>
      <c r="F13" s="23" t="inlineStr">
        <is>
          <t>You are on the deactivate confirm step.</t>
        </is>
      </c>
      <c r="G13" s="23" t="inlineStr">
        <is>
          <t>1. Read the whole screen from top to bottom.
2. Note where the consequences text is relative to the confirm control.</t>
        </is>
      </c>
      <c r="H13" s="23" t="inlineStr">
        <is>
          <t>-</t>
        </is>
      </c>
      <c r="I13" s="23" t="inlineStr">
        <is>
          <t>The consequences appear ABOVE the confirm control.
They say: sign-in stops, your CV leaves employer search, alerts stop — AND that applications already sent stay with those employers.
The grace window ('sign in within N days to reactivate') is stated.</t>
        </is>
      </c>
      <c r="J13" s="20" t="inlineStr"/>
      <c r="K13" s="21" t="inlineStr"/>
      <c r="L13" s="20" t="inlineStr"/>
      <c r="M13" s="21" t="inlineStr"/>
      <c r="N13" s="20" t="inlineStr"/>
    </row>
    <row r="14" ht="40.5" customHeight="1">
      <c r="A14" s="17" t="inlineStr">
        <is>
          <t>JS-10-11</t>
        </is>
      </c>
      <c r="B14" s="6" t="inlineStr">
        <is>
          <t>Deactivate</t>
        </is>
      </c>
      <c r="C14" s="6" t="inlineStr">
        <is>
          <t>Deactivation needs an explicit confirm plus re-authentication</t>
        </is>
      </c>
      <c r="D14" s="25" t="inlineStr">
        <is>
          <t>Negative</t>
        </is>
      </c>
      <c r="E14" s="19" t="inlineStr">
        <is>
          <t>High</t>
        </is>
      </c>
      <c r="F14" s="6" t="inlineStr">
        <is>
          <t>You are on the deactivate confirm step.</t>
        </is>
      </c>
      <c r="G14" s="6" t="inlineStr">
        <is>
          <t>1. Try to confirm without ticking / typing the confirmation.
2. Tick it, then enter a WRONG password.
3. Enter the correct password.</t>
        </is>
      </c>
      <c r="H14" s="6" t="inlineStr">
        <is>
          <t>Wrong password first, then the correct one</t>
        </is>
      </c>
      <c r="I14" s="6" t="inlineStr">
        <is>
          <t>You cannot confirm without the explicit tick / typed confirmation.
A wrong password stops the deactivation with a clear message.
Only the correct password (or a provider re-login for a social account) completes it.</t>
        </is>
      </c>
      <c r="J14" s="20" t="inlineStr"/>
      <c r="K14" s="21" t="inlineStr"/>
      <c r="L14" s="20" t="inlineStr"/>
      <c r="M14" s="21" t="inlineStr"/>
      <c r="N14" s="20" t="inlineStr"/>
    </row>
    <row r="15" ht="28" customHeight="1">
      <c r="A15" s="22" t="inlineStr">
        <is>
          <t>JS-10-12</t>
        </is>
      </c>
      <c r="B15" s="23" t="inlineStr">
        <is>
          <t>Deactivate</t>
        </is>
      </c>
      <c r="C15" s="23" t="inlineStr">
        <is>
          <t>The reason is optional</t>
        </is>
      </c>
      <c r="D15" s="18" t="inlineStr">
        <is>
          <t>Positive</t>
        </is>
      </c>
      <c r="E15" s="27" t="inlineStr">
        <is>
          <t>Low</t>
        </is>
      </c>
      <c r="F15" s="23" t="inlineStr">
        <is>
          <t>You are on the deactivate confirm step with the confirmation ticked.</t>
        </is>
      </c>
      <c r="G15" s="23" t="inlineStr">
        <is>
          <t>1. Leave the reason unselected.
2. Complete the deactivation.</t>
        </is>
      </c>
      <c r="H15" s="23" t="inlineStr">
        <is>
          <t>-</t>
        </is>
      </c>
      <c r="I15" s="23" t="inlineStr">
        <is>
          <t>Deactivation completes without a reason.
The reason is never a blocker.</t>
        </is>
      </c>
      <c r="J15" s="20" t="inlineStr"/>
      <c r="K15" s="21" t="inlineStr"/>
      <c r="L15" s="20" t="inlineStr"/>
      <c r="M15" s="21" t="inlineStr"/>
      <c r="N15" s="20" t="inlineStr"/>
    </row>
    <row r="16" ht="40.5" customHeight="1">
      <c r="A16" s="17" t="inlineStr">
        <is>
          <t>JS-10-13</t>
        </is>
      </c>
      <c r="B16" s="6" t="inlineStr">
        <is>
          <t>Deactivate</t>
        </is>
      </c>
      <c r="C16" s="6" t="inlineStr">
        <is>
          <t>Confirming signs you out everywhere and sends a confirmation email</t>
        </is>
      </c>
      <c r="D16" s="18" t="inlineStr">
        <is>
          <t>Positive</t>
        </is>
      </c>
      <c r="E16" s="19" t="inlineStr">
        <is>
          <t>High</t>
        </is>
      </c>
      <c r="F16" s="6" t="inlineStr">
        <is>
          <t>The same account is signed in on two browsers.</t>
        </is>
      </c>
      <c r="G16" s="6" t="inlineStr">
        <is>
          <t>1. In browser A, complete the deactivation.
2. In browser B, refresh any page.
3. Open the account's mailbox.</t>
        </is>
      </c>
      <c r="H16" s="6" t="inlineStr">
        <is>
          <t>-</t>
        </is>
      </c>
      <c r="I16" s="6" t="inlineStr">
        <is>
          <t>Browser A is signed out.
Browser B is signed out too.
A confirmation email arrives — this is also how someone finds out if their account was taken over.</t>
        </is>
      </c>
      <c r="J16" s="20" t="inlineStr"/>
      <c r="K16" s="21" t="inlineStr"/>
      <c r="L16" s="20" t="inlineStr"/>
      <c r="M16" s="21" t="inlineStr"/>
      <c r="N16" s="20" t="inlineStr"/>
    </row>
    <row r="17" ht="40.5" customHeight="1">
      <c r="A17" s="22" t="inlineStr">
        <is>
          <t>JS-10-14</t>
        </is>
      </c>
      <c r="B17" s="23" t="inlineStr">
        <is>
          <t>Deactivate</t>
        </is>
      </c>
      <c r="C17" s="23" t="inlineStr">
        <is>
          <t>Your CV leaves employer search immediately</t>
        </is>
      </c>
      <c r="D17" s="18" t="inlineStr">
        <is>
          <t>Positive</t>
        </is>
      </c>
      <c r="E17" s="19" t="inlineStr">
        <is>
          <t>High</t>
        </is>
      </c>
      <c r="F17" s="23" t="inlineStr">
        <is>
          <t>You were Discoverable and a company tester can find you.</t>
        </is>
      </c>
      <c r="G17" s="23" t="inlineStr">
        <is>
          <t>1. Ask the company tester to search and confirm they can see you.
2. Deactivate the account.
3. Ask the tester to run the SAME search again immediately.</t>
        </is>
      </c>
      <c r="H17" s="23" t="inlineStr">
        <is>
          <t>-</t>
        </is>
      </c>
      <c r="I17" s="23" t="inlineStr">
        <is>
          <t>You are gone from the employer search results immediately — no waiting for a re-index.</t>
        </is>
      </c>
      <c r="J17" s="20" t="inlineStr"/>
      <c r="K17" s="21" t="inlineStr"/>
      <c r="L17" s="20" t="inlineStr"/>
      <c r="M17" s="21" t="inlineStr"/>
      <c r="N17" s="20" t="inlineStr"/>
    </row>
    <row r="18" ht="28" customHeight="1">
      <c r="A18" s="17" t="inlineStr">
        <is>
          <t>JS-10-15</t>
        </is>
      </c>
      <c r="B18" s="6" t="inlineStr">
        <is>
          <t>Deactivate</t>
        </is>
      </c>
      <c r="C18" s="6" t="inlineStr">
        <is>
          <t>Applications already sent stay with the employers</t>
        </is>
      </c>
      <c r="D18" s="26" t="inlineStr">
        <is>
          <t>Edge</t>
        </is>
      </c>
      <c r="E18" s="19" t="inlineStr">
        <is>
          <t>High</t>
        </is>
      </c>
      <c r="F18" s="6" t="inlineStr">
        <is>
          <t>You applied to a job before deactivating.</t>
        </is>
      </c>
      <c r="G18" s="6" t="inlineStr">
        <is>
          <t>1. Deactivate the account.
2. Ask the company tester to open their applicant list for that job.</t>
        </is>
      </c>
      <c r="H18" s="6" t="inlineStr">
        <is>
          <t>-</t>
        </is>
      </c>
      <c r="I18" s="6" t="inlineStr">
        <is>
          <t>Your application is still on the employer's board with the CV.
This matches what the confirm screen promised — nothing is retracted.</t>
        </is>
      </c>
      <c r="J18" s="20" t="inlineStr"/>
      <c r="K18" s="21" t="inlineStr"/>
      <c r="L18" s="20" t="inlineStr"/>
      <c r="M18" s="21" t="inlineStr"/>
      <c r="N18" s="20" t="inlineStr"/>
    </row>
    <row r="19" ht="54" customHeight="1">
      <c r="A19" s="22" t="inlineStr">
        <is>
          <t>JS-10-16</t>
        </is>
      </c>
      <c r="B19" s="23" t="inlineStr">
        <is>
          <t>Deactivate</t>
        </is>
      </c>
      <c r="C19" s="23" t="inlineStr">
        <is>
          <t>Signing in inside the grace window reactivates the account, with visibility still OFF</t>
        </is>
      </c>
      <c r="D19" s="26" t="inlineStr">
        <is>
          <t>Edge</t>
        </is>
      </c>
      <c r="E19" s="19" t="inlineStr">
        <is>
          <t>High</t>
        </is>
      </c>
      <c r="F19" s="23" t="inlineStr">
        <is>
          <t>You deactivated an account today and the grace window is still open.</t>
        </is>
      </c>
      <c r="G19" s="23" t="inlineStr">
        <is>
          <t>1. Sign in with that account.
2. Accept the reactivate offer.
3. Go to My CVs and check the visibility setting.
4. Check your CVs and applications are still there.</t>
        </is>
      </c>
      <c r="H19" s="23" t="inlineStr">
        <is>
          <t>-</t>
        </is>
      </c>
      <c r="I19" s="23" t="inlineStr">
        <is>
          <t>The account comes back with its CVs and applications.
CV visibility is still OFF — you have to turn it back on yourself.
(If visibility came back on by itself, mark Fail: consent must be given again deliberately.)</t>
        </is>
      </c>
      <c r="J19" s="20" t="inlineStr"/>
      <c r="K19" s="21" t="inlineStr"/>
      <c r="L19" s="20" t="inlineStr"/>
      <c r="M19" s="21" t="inlineStr"/>
      <c r="N19" s="20" t="inlineStr"/>
    </row>
    <row r="20" ht="28" customHeight="1">
      <c r="A20" s="17" t="inlineStr">
        <is>
          <t>JS-10-17</t>
        </is>
      </c>
      <c r="B20" s="6" t="inlineStr">
        <is>
          <t>Deactivate</t>
        </is>
      </c>
      <c r="C20" s="6" t="inlineStr">
        <is>
          <t>A deactivated email cannot be used to make a new account</t>
        </is>
      </c>
      <c r="D20" s="25" t="inlineStr">
        <is>
          <t>Negative</t>
        </is>
      </c>
      <c r="E20" s="19" t="inlineStr">
        <is>
          <t>High</t>
        </is>
      </c>
      <c r="F20" s="6" t="inlineStr">
        <is>
          <t>You deactivated an account on a known email address.</t>
        </is>
      </c>
      <c r="G20" s="6" t="inlineStr">
        <is>
          <t>1. Sign out.
2. Try to sign up again with that same email address.</t>
        </is>
      </c>
      <c r="H20" s="6" t="inlineStr">
        <is>
          <t>The deactivated account's email</t>
        </is>
      </c>
      <c r="I20" s="6" t="inlineStr">
        <is>
          <t>A new account is NOT created.
You are pointed to reactivation instead, so no duplicate account appears on that email.</t>
        </is>
      </c>
      <c r="J20" s="20" t="inlineStr"/>
      <c r="K20" s="21" t="inlineStr"/>
      <c r="L20" s="20" t="inlineStr"/>
      <c r="M20" s="21" t="inlineStr"/>
      <c r="N20" s="20" t="inlineStr"/>
    </row>
    <row r="21" ht="40.5" customHeight="1">
      <c r="A21" s="22" t="inlineStr">
        <is>
          <t>JS-10-18</t>
        </is>
      </c>
      <c r="B21" s="23" t="inlineStr">
        <is>
          <t>Deactivate</t>
        </is>
      </c>
      <c r="C21" s="23" t="inlineStr">
        <is>
          <t>Deactivation is not the same as deleting your data</t>
        </is>
      </c>
      <c r="D21" s="18" t="inlineStr">
        <is>
          <t>Positive</t>
        </is>
      </c>
      <c r="E21" s="24" t="inlineStr">
        <is>
          <t>Medium</t>
        </is>
      </c>
      <c r="F21" s="23" t="inlineStr">
        <is>
          <t>You are reading the deactivate confirm step.</t>
        </is>
      </c>
      <c r="G21" s="23" t="inlineStr">
        <is>
          <t>1. Read the text about what happens to your personal data.</t>
        </is>
      </c>
      <c r="H21" s="23" t="inlineStr">
        <is>
          <t>-</t>
        </is>
      </c>
      <c r="I21" s="23" t="inlineStr">
        <is>
          <t>The screen says personal data is kept only for the legally required period and then removed.
It does not claim everything is deleted immediately.
Write in Notes what period is stated — the exact number is still an open question for the client's legal side.</t>
        </is>
      </c>
      <c r="J21" s="20" t="inlineStr"/>
      <c r="K21" s="21" t="inlineStr"/>
      <c r="L21" s="20" t="inlineStr"/>
      <c r="M21" s="21" t="inlineStr"/>
      <c r="N21" s="20" t="inlineStr"/>
    </row>
  </sheetData>
  <autoFilter ref="A3:N21"/>
  <mergeCells count="2">
    <mergeCell ref="A2:N2"/>
    <mergeCell ref="A1:N1"/>
  </mergeCells>
  <dataValidations count="1">
    <dataValidation sqref="K4:K21"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04"/>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2" customWidth="1" min="3" max="3"/>
    <col width="42" customWidth="1" min="4" max="4"/>
    <col width="52" customWidth="1" min="5" max="5"/>
    <col width="34" customWidth="1" min="6" max="6"/>
    <col width="34" customWidth="1" min="7" max="7"/>
    <col width="12" customWidth="1" min="8" max="8"/>
    <col width="16" customWidth="1" min="9" max="9"/>
    <col width="14" customWidth="1" min="10" max="10"/>
    <col width="12" customWidth="1" min="11" max="11"/>
    <col width="14" customWidth="1" min="12" max="12"/>
  </cols>
  <sheetData>
    <row r="1">
      <c r="A1" s="16" t="inlineStr">
        <is>
          <t>Bug log — one row per Fail</t>
        </is>
      </c>
    </row>
    <row r="2" ht="24" customHeight="1">
      <c r="A2" s="8" t="inlineStr">
        <is>
          <t>Raise a bug for every test case you marked Fail. Bug ID can be anything simple and unique, e.g. BUG-001. Copy the Test Case ID across so the developer can read the full case.</t>
        </is>
      </c>
    </row>
    <row r="3" ht="28" customHeight="1">
      <c r="A3" s="9" t="inlineStr">
        <is>
          <t>Bug ID</t>
        </is>
      </c>
      <c r="B3" s="9" t="inlineStr">
        <is>
          <t>Test Case ID</t>
        </is>
      </c>
      <c r="C3" s="9" t="inlineStr">
        <is>
          <t>Screen</t>
        </is>
      </c>
      <c r="D3" s="9" t="inlineStr">
        <is>
          <t>Bug Title (one line)</t>
        </is>
      </c>
      <c r="E3" s="9" t="inlineStr">
        <is>
          <t>Steps to reproduce</t>
        </is>
      </c>
      <c r="F3" s="9" t="inlineStr">
        <is>
          <t>Expected</t>
        </is>
      </c>
      <c r="G3" s="9" t="inlineStr">
        <is>
          <t>Actual</t>
        </is>
      </c>
      <c r="H3" s="9" t="inlineStr">
        <is>
          <t>Severity</t>
        </is>
      </c>
      <c r="I3" s="9" t="inlineStr">
        <is>
          <t>Screenshot attached?</t>
        </is>
      </c>
      <c r="J3" s="9" t="inlineStr">
        <is>
          <t>Reported by</t>
        </is>
      </c>
      <c r="K3" s="9" t="inlineStr">
        <is>
          <t>Date</t>
        </is>
      </c>
      <c r="L3" s="9" t="inlineStr">
        <is>
          <t>Status</t>
        </is>
      </c>
    </row>
    <row r="4" ht="60" customHeight="1">
      <c r="A4" s="28" t="inlineStr">
        <is>
          <t>BUG-001</t>
        </is>
      </c>
      <c r="B4" s="28" t="inlineStr">
        <is>
          <t>JS-01-02</t>
        </is>
      </c>
      <c r="C4" s="28" t="inlineStr">
        <is>
          <t>Sign up</t>
        </is>
      </c>
      <c r="D4" s="28" t="inlineStr">
        <is>
          <t>EXAMPLE ROW — delete before use: verification email never arrives</t>
        </is>
      </c>
      <c r="E4" s="28" t="inlineStr">
        <is>
          <t>1. Open Sign up.
2. Fill valid data.
3. Press Create account.
4. Check the inbox for 10 minutes.</t>
        </is>
      </c>
      <c r="F4" s="28" t="inlineStr">
        <is>
          <t>A verification email arrives within 2 minutes.</t>
        </is>
      </c>
      <c r="G4" s="28" t="inlineStr">
        <is>
          <t>No email arrives at all.</t>
        </is>
      </c>
      <c r="H4" s="28" t="inlineStr">
        <is>
          <t>High</t>
        </is>
      </c>
      <c r="I4" s="28" t="inlineStr">
        <is>
          <t>Yes</t>
        </is>
      </c>
      <c r="J4" s="28" t="inlineStr">
        <is>
          <t>Your name</t>
        </is>
      </c>
      <c r="K4" s="28" t="inlineStr">
        <is>
          <t>2026-08-12</t>
        </is>
      </c>
      <c r="L4" s="28" t="inlineStr">
        <is>
          <t>Open</t>
        </is>
      </c>
    </row>
    <row r="5">
      <c r="A5" s="6" t="n"/>
      <c r="B5" s="6" t="n"/>
      <c r="C5" s="6" t="n"/>
      <c r="D5" s="6" t="n"/>
      <c r="E5" s="6" t="n"/>
      <c r="F5" s="6" t="n"/>
      <c r="G5" s="6" t="n"/>
      <c r="H5" s="6" t="n"/>
      <c r="I5" s="6" t="n"/>
      <c r="J5" s="6" t="n"/>
      <c r="K5" s="6" t="n"/>
      <c r="L5" s="6" t="n"/>
    </row>
    <row r="6">
      <c r="A6" s="6" t="n"/>
      <c r="B6" s="6" t="n"/>
      <c r="C6" s="6" t="n"/>
      <c r="D6" s="6" t="n"/>
      <c r="E6" s="6" t="n"/>
      <c r="F6" s="6" t="n"/>
      <c r="G6" s="6" t="n"/>
      <c r="H6" s="6" t="n"/>
      <c r="I6" s="6" t="n"/>
      <c r="J6" s="6" t="n"/>
      <c r="K6" s="6" t="n"/>
      <c r="L6" s="6" t="n"/>
    </row>
    <row r="7">
      <c r="A7" s="6" t="n"/>
      <c r="B7" s="6" t="n"/>
      <c r="C7" s="6" t="n"/>
      <c r="D7" s="6" t="n"/>
      <c r="E7" s="6" t="n"/>
      <c r="F7" s="6" t="n"/>
      <c r="G7" s="6" t="n"/>
      <c r="H7" s="6" t="n"/>
      <c r="I7" s="6" t="n"/>
      <c r="J7" s="6" t="n"/>
      <c r="K7" s="6" t="n"/>
      <c r="L7" s="6" t="n"/>
    </row>
    <row r="8">
      <c r="A8" s="6" t="n"/>
      <c r="B8" s="6" t="n"/>
      <c r="C8" s="6" t="n"/>
      <c r="D8" s="6" t="n"/>
      <c r="E8" s="6" t="n"/>
      <c r="F8" s="6" t="n"/>
      <c r="G8" s="6" t="n"/>
      <c r="H8" s="6" t="n"/>
      <c r="I8" s="6" t="n"/>
      <c r="J8" s="6" t="n"/>
      <c r="K8" s="6" t="n"/>
      <c r="L8" s="6" t="n"/>
    </row>
    <row r="9">
      <c r="A9" s="6" t="n"/>
      <c r="B9" s="6" t="n"/>
      <c r="C9" s="6" t="n"/>
      <c r="D9" s="6" t="n"/>
      <c r="E9" s="6" t="n"/>
      <c r="F9" s="6" t="n"/>
      <c r="G9" s="6" t="n"/>
      <c r="H9" s="6" t="n"/>
      <c r="I9" s="6" t="n"/>
      <c r="J9" s="6" t="n"/>
      <c r="K9" s="6" t="n"/>
      <c r="L9" s="6" t="n"/>
    </row>
    <row r="10">
      <c r="A10" s="6" t="n"/>
      <c r="B10" s="6" t="n"/>
      <c r="C10" s="6" t="n"/>
      <c r="D10" s="6" t="n"/>
      <c r="E10" s="6" t="n"/>
      <c r="F10" s="6" t="n"/>
      <c r="G10" s="6" t="n"/>
      <c r="H10" s="6" t="n"/>
      <c r="I10" s="6" t="n"/>
      <c r="J10" s="6" t="n"/>
      <c r="K10" s="6" t="n"/>
      <c r="L10" s="6" t="n"/>
    </row>
    <row r="11">
      <c r="A11" s="6" t="n"/>
      <c r="B11" s="6" t="n"/>
      <c r="C11" s="6" t="n"/>
      <c r="D11" s="6" t="n"/>
      <c r="E11" s="6" t="n"/>
      <c r="F11" s="6" t="n"/>
      <c r="G11" s="6" t="n"/>
      <c r="H11" s="6" t="n"/>
      <c r="I11" s="6" t="n"/>
      <c r="J11" s="6" t="n"/>
      <c r="K11" s="6" t="n"/>
      <c r="L11" s="6" t="n"/>
    </row>
    <row r="12">
      <c r="A12" s="6" t="n"/>
      <c r="B12" s="6" t="n"/>
      <c r="C12" s="6" t="n"/>
      <c r="D12" s="6" t="n"/>
      <c r="E12" s="6" t="n"/>
      <c r="F12" s="6" t="n"/>
      <c r="G12" s="6" t="n"/>
      <c r="H12" s="6" t="n"/>
      <c r="I12" s="6" t="n"/>
      <c r="J12" s="6" t="n"/>
      <c r="K12" s="6" t="n"/>
      <c r="L12" s="6" t="n"/>
    </row>
    <row r="13">
      <c r="A13" s="6" t="n"/>
      <c r="B13" s="6" t="n"/>
      <c r="C13" s="6" t="n"/>
      <c r="D13" s="6" t="n"/>
      <c r="E13" s="6" t="n"/>
      <c r="F13" s="6" t="n"/>
      <c r="G13" s="6" t="n"/>
      <c r="H13" s="6" t="n"/>
      <c r="I13" s="6" t="n"/>
      <c r="J13" s="6" t="n"/>
      <c r="K13" s="6" t="n"/>
      <c r="L13" s="6" t="n"/>
    </row>
    <row r="14">
      <c r="A14" s="6" t="n"/>
      <c r="B14" s="6" t="n"/>
      <c r="C14" s="6" t="n"/>
      <c r="D14" s="6" t="n"/>
      <c r="E14" s="6" t="n"/>
      <c r="F14" s="6" t="n"/>
      <c r="G14" s="6" t="n"/>
      <c r="H14" s="6" t="n"/>
      <c r="I14" s="6" t="n"/>
      <c r="J14" s="6" t="n"/>
      <c r="K14" s="6" t="n"/>
      <c r="L14" s="6" t="n"/>
    </row>
    <row r="15">
      <c r="A15" s="6" t="n"/>
      <c r="B15" s="6" t="n"/>
      <c r="C15" s="6" t="n"/>
      <c r="D15" s="6" t="n"/>
      <c r="E15" s="6" t="n"/>
      <c r="F15" s="6" t="n"/>
      <c r="G15" s="6" t="n"/>
      <c r="H15" s="6" t="n"/>
      <c r="I15" s="6" t="n"/>
      <c r="J15" s="6" t="n"/>
      <c r="K15" s="6" t="n"/>
      <c r="L15" s="6" t="n"/>
    </row>
    <row r="16">
      <c r="A16" s="6" t="n"/>
      <c r="B16" s="6" t="n"/>
      <c r="C16" s="6" t="n"/>
      <c r="D16" s="6" t="n"/>
      <c r="E16" s="6" t="n"/>
      <c r="F16" s="6" t="n"/>
      <c r="G16" s="6" t="n"/>
      <c r="H16" s="6" t="n"/>
      <c r="I16" s="6" t="n"/>
      <c r="J16" s="6" t="n"/>
      <c r="K16" s="6" t="n"/>
      <c r="L16" s="6" t="n"/>
    </row>
    <row r="17">
      <c r="A17" s="6" t="n"/>
      <c r="B17" s="6" t="n"/>
      <c r="C17" s="6" t="n"/>
      <c r="D17" s="6" t="n"/>
      <c r="E17" s="6" t="n"/>
      <c r="F17" s="6" t="n"/>
      <c r="G17" s="6" t="n"/>
      <c r="H17" s="6" t="n"/>
      <c r="I17" s="6" t="n"/>
      <c r="J17" s="6" t="n"/>
      <c r="K17" s="6" t="n"/>
      <c r="L17" s="6" t="n"/>
    </row>
    <row r="18">
      <c r="A18" s="6" t="n"/>
      <c r="B18" s="6" t="n"/>
      <c r="C18" s="6" t="n"/>
      <c r="D18" s="6" t="n"/>
      <c r="E18" s="6" t="n"/>
      <c r="F18" s="6" t="n"/>
      <c r="G18" s="6" t="n"/>
      <c r="H18" s="6" t="n"/>
      <c r="I18" s="6" t="n"/>
      <c r="J18" s="6" t="n"/>
      <c r="K18" s="6" t="n"/>
      <c r="L18" s="6" t="n"/>
    </row>
    <row r="19">
      <c r="A19" s="6" t="n"/>
      <c r="B19" s="6" t="n"/>
      <c r="C19" s="6" t="n"/>
      <c r="D19" s="6" t="n"/>
      <c r="E19" s="6" t="n"/>
      <c r="F19" s="6" t="n"/>
      <c r="G19" s="6" t="n"/>
      <c r="H19" s="6" t="n"/>
      <c r="I19" s="6" t="n"/>
      <c r="J19" s="6" t="n"/>
      <c r="K19" s="6" t="n"/>
      <c r="L19" s="6" t="n"/>
    </row>
    <row r="20">
      <c r="A20" s="6" t="n"/>
      <c r="B20" s="6" t="n"/>
      <c r="C20" s="6" t="n"/>
      <c r="D20" s="6" t="n"/>
      <c r="E20" s="6" t="n"/>
      <c r="F20" s="6" t="n"/>
      <c r="G20" s="6" t="n"/>
      <c r="H20" s="6" t="n"/>
      <c r="I20" s="6" t="n"/>
      <c r="J20" s="6" t="n"/>
      <c r="K20" s="6" t="n"/>
      <c r="L20" s="6" t="n"/>
    </row>
    <row r="21">
      <c r="A21" s="6" t="n"/>
      <c r="B21" s="6" t="n"/>
      <c r="C21" s="6" t="n"/>
      <c r="D21" s="6" t="n"/>
      <c r="E21" s="6" t="n"/>
      <c r="F21" s="6" t="n"/>
      <c r="G21" s="6" t="n"/>
      <c r="H21" s="6" t="n"/>
      <c r="I21" s="6" t="n"/>
      <c r="J21" s="6" t="n"/>
      <c r="K21" s="6" t="n"/>
      <c r="L21" s="6" t="n"/>
    </row>
    <row r="22">
      <c r="A22" s="6" t="n"/>
      <c r="B22" s="6" t="n"/>
      <c r="C22" s="6" t="n"/>
      <c r="D22" s="6" t="n"/>
      <c r="E22" s="6" t="n"/>
      <c r="F22" s="6" t="n"/>
      <c r="G22" s="6" t="n"/>
      <c r="H22" s="6" t="n"/>
      <c r="I22" s="6" t="n"/>
      <c r="J22" s="6" t="n"/>
      <c r="K22" s="6" t="n"/>
      <c r="L22" s="6" t="n"/>
    </row>
    <row r="23">
      <c r="A23" s="6" t="n"/>
      <c r="B23" s="6" t="n"/>
      <c r="C23" s="6" t="n"/>
      <c r="D23" s="6" t="n"/>
      <c r="E23" s="6" t="n"/>
      <c r="F23" s="6" t="n"/>
      <c r="G23" s="6" t="n"/>
      <c r="H23" s="6" t="n"/>
      <c r="I23" s="6" t="n"/>
      <c r="J23" s="6" t="n"/>
      <c r="K23" s="6" t="n"/>
      <c r="L23" s="6" t="n"/>
    </row>
    <row r="24">
      <c r="A24" s="6" t="n"/>
      <c r="B24" s="6" t="n"/>
      <c r="C24" s="6" t="n"/>
      <c r="D24" s="6" t="n"/>
      <c r="E24" s="6" t="n"/>
      <c r="F24" s="6" t="n"/>
      <c r="G24" s="6" t="n"/>
      <c r="H24" s="6" t="n"/>
      <c r="I24" s="6" t="n"/>
      <c r="J24" s="6" t="n"/>
      <c r="K24" s="6" t="n"/>
      <c r="L24" s="6" t="n"/>
    </row>
    <row r="25">
      <c r="A25" s="6" t="n"/>
      <c r="B25" s="6" t="n"/>
      <c r="C25" s="6" t="n"/>
      <c r="D25" s="6" t="n"/>
      <c r="E25" s="6" t="n"/>
      <c r="F25" s="6" t="n"/>
      <c r="G25" s="6" t="n"/>
      <c r="H25" s="6" t="n"/>
      <c r="I25" s="6" t="n"/>
      <c r="J25" s="6" t="n"/>
      <c r="K25" s="6" t="n"/>
      <c r="L25" s="6" t="n"/>
    </row>
    <row r="26">
      <c r="A26" s="6" t="n"/>
      <c r="B26" s="6" t="n"/>
      <c r="C26" s="6" t="n"/>
      <c r="D26" s="6" t="n"/>
      <c r="E26" s="6" t="n"/>
      <c r="F26" s="6" t="n"/>
      <c r="G26" s="6" t="n"/>
      <c r="H26" s="6" t="n"/>
      <c r="I26" s="6" t="n"/>
      <c r="J26" s="6" t="n"/>
      <c r="K26" s="6" t="n"/>
      <c r="L26" s="6" t="n"/>
    </row>
    <row r="27">
      <c r="A27" s="6" t="n"/>
      <c r="B27" s="6" t="n"/>
      <c r="C27" s="6" t="n"/>
      <c r="D27" s="6" t="n"/>
      <c r="E27" s="6" t="n"/>
      <c r="F27" s="6" t="n"/>
      <c r="G27" s="6" t="n"/>
      <c r="H27" s="6" t="n"/>
      <c r="I27" s="6" t="n"/>
      <c r="J27" s="6" t="n"/>
      <c r="K27" s="6" t="n"/>
      <c r="L27" s="6" t="n"/>
    </row>
    <row r="28">
      <c r="A28" s="6" t="n"/>
      <c r="B28" s="6" t="n"/>
      <c r="C28" s="6" t="n"/>
      <c r="D28" s="6" t="n"/>
      <c r="E28" s="6" t="n"/>
      <c r="F28" s="6" t="n"/>
      <c r="G28" s="6" t="n"/>
      <c r="H28" s="6" t="n"/>
      <c r="I28" s="6" t="n"/>
      <c r="J28" s="6" t="n"/>
      <c r="K28" s="6" t="n"/>
      <c r="L28" s="6" t="n"/>
    </row>
    <row r="29">
      <c r="A29" s="6" t="n"/>
      <c r="B29" s="6" t="n"/>
      <c r="C29" s="6" t="n"/>
      <c r="D29" s="6" t="n"/>
      <c r="E29" s="6" t="n"/>
      <c r="F29" s="6" t="n"/>
      <c r="G29" s="6" t="n"/>
      <c r="H29" s="6" t="n"/>
      <c r="I29" s="6" t="n"/>
      <c r="J29" s="6" t="n"/>
      <c r="K29" s="6" t="n"/>
      <c r="L29" s="6" t="n"/>
    </row>
    <row r="30">
      <c r="A30" s="6" t="n"/>
      <c r="B30" s="6" t="n"/>
      <c r="C30" s="6" t="n"/>
      <c r="D30" s="6" t="n"/>
      <c r="E30" s="6" t="n"/>
      <c r="F30" s="6" t="n"/>
      <c r="G30" s="6" t="n"/>
      <c r="H30" s="6" t="n"/>
      <c r="I30" s="6" t="n"/>
      <c r="J30" s="6" t="n"/>
      <c r="K30" s="6" t="n"/>
      <c r="L30" s="6" t="n"/>
    </row>
    <row r="31">
      <c r="A31" s="6" t="n"/>
      <c r="B31" s="6" t="n"/>
      <c r="C31" s="6" t="n"/>
      <c r="D31" s="6" t="n"/>
      <c r="E31" s="6" t="n"/>
      <c r="F31" s="6" t="n"/>
      <c r="G31" s="6" t="n"/>
      <c r="H31" s="6" t="n"/>
      <c r="I31" s="6" t="n"/>
      <c r="J31" s="6" t="n"/>
      <c r="K31" s="6" t="n"/>
      <c r="L31" s="6" t="n"/>
    </row>
    <row r="32">
      <c r="A32" s="6" t="n"/>
      <c r="B32" s="6" t="n"/>
      <c r="C32" s="6" t="n"/>
      <c r="D32" s="6" t="n"/>
      <c r="E32" s="6" t="n"/>
      <c r="F32" s="6" t="n"/>
      <c r="G32" s="6" t="n"/>
      <c r="H32" s="6" t="n"/>
      <c r="I32" s="6" t="n"/>
      <c r="J32" s="6" t="n"/>
      <c r="K32" s="6" t="n"/>
      <c r="L32" s="6" t="n"/>
    </row>
    <row r="33">
      <c r="A33" s="6" t="n"/>
      <c r="B33" s="6" t="n"/>
      <c r="C33" s="6" t="n"/>
      <c r="D33" s="6" t="n"/>
      <c r="E33" s="6" t="n"/>
      <c r="F33" s="6" t="n"/>
      <c r="G33" s="6" t="n"/>
      <c r="H33" s="6" t="n"/>
      <c r="I33" s="6" t="n"/>
      <c r="J33" s="6" t="n"/>
      <c r="K33" s="6" t="n"/>
      <c r="L33" s="6" t="n"/>
    </row>
    <row r="34">
      <c r="A34" s="6" t="n"/>
      <c r="B34" s="6" t="n"/>
      <c r="C34" s="6" t="n"/>
      <c r="D34" s="6" t="n"/>
      <c r="E34" s="6" t="n"/>
      <c r="F34" s="6" t="n"/>
      <c r="G34" s="6" t="n"/>
      <c r="H34" s="6" t="n"/>
      <c r="I34" s="6" t="n"/>
      <c r="J34" s="6" t="n"/>
      <c r="K34" s="6" t="n"/>
      <c r="L34" s="6" t="n"/>
    </row>
    <row r="35">
      <c r="A35" s="6" t="n"/>
      <c r="B35" s="6" t="n"/>
      <c r="C35" s="6" t="n"/>
      <c r="D35" s="6" t="n"/>
      <c r="E35" s="6" t="n"/>
      <c r="F35" s="6" t="n"/>
      <c r="G35" s="6" t="n"/>
      <c r="H35" s="6" t="n"/>
      <c r="I35" s="6" t="n"/>
      <c r="J35" s="6" t="n"/>
      <c r="K35" s="6" t="n"/>
      <c r="L35" s="6" t="n"/>
    </row>
    <row r="36">
      <c r="A36" s="6" t="n"/>
      <c r="B36" s="6" t="n"/>
      <c r="C36" s="6" t="n"/>
      <c r="D36" s="6" t="n"/>
      <c r="E36" s="6" t="n"/>
      <c r="F36" s="6" t="n"/>
      <c r="G36" s="6" t="n"/>
      <c r="H36" s="6" t="n"/>
      <c r="I36" s="6" t="n"/>
      <c r="J36" s="6" t="n"/>
      <c r="K36" s="6" t="n"/>
      <c r="L36" s="6" t="n"/>
    </row>
    <row r="37">
      <c r="A37" s="6" t="n"/>
      <c r="B37" s="6" t="n"/>
      <c r="C37" s="6" t="n"/>
      <c r="D37" s="6" t="n"/>
      <c r="E37" s="6" t="n"/>
      <c r="F37" s="6" t="n"/>
      <c r="G37" s="6" t="n"/>
      <c r="H37" s="6" t="n"/>
      <c r="I37" s="6" t="n"/>
      <c r="J37" s="6" t="n"/>
      <c r="K37" s="6" t="n"/>
      <c r="L37" s="6" t="n"/>
    </row>
    <row r="38">
      <c r="A38" s="6" t="n"/>
      <c r="B38" s="6" t="n"/>
      <c r="C38" s="6" t="n"/>
      <c r="D38" s="6" t="n"/>
      <c r="E38" s="6" t="n"/>
      <c r="F38" s="6" t="n"/>
      <c r="G38" s="6" t="n"/>
      <c r="H38" s="6" t="n"/>
      <c r="I38" s="6" t="n"/>
      <c r="J38" s="6" t="n"/>
      <c r="K38" s="6" t="n"/>
      <c r="L38" s="6" t="n"/>
    </row>
    <row r="39">
      <c r="A39" s="6" t="n"/>
      <c r="B39" s="6" t="n"/>
      <c r="C39" s="6" t="n"/>
      <c r="D39" s="6" t="n"/>
      <c r="E39" s="6" t="n"/>
      <c r="F39" s="6" t="n"/>
      <c r="G39" s="6" t="n"/>
      <c r="H39" s="6" t="n"/>
      <c r="I39" s="6" t="n"/>
      <c r="J39" s="6" t="n"/>
      <c r="K39" s="6" t="n"/>
      <c r="L39" s="6" t="n"/>
    </row>
    <row r="40">
      <c r="A40" s="6" t="n"/>
      <c r="B40" s="6" t="n"/>
      <c r="C40" s="6" t="n"/>
      <c r="D40" s="6" t="n"/>
      <c r="E40" s="6" t="n"/>
      <c r="F40" s="6" t="n"/>
      <c r="G40" s="6" t="n"/>
      <c r="H40" s="6" t="n"/>
      <c r="I40" s="6" t="n"/>
      <c r="J40" s="6" t="n"/>
      <c r="K40" s="6" t="n"/>
      <c r="L40" s="6" t="n"/>
    </row>
    <row r="41">
      <c r="A41" s="6" t="n"/>
      <c r="B41" s="6" t="n"/>
      <c r="C41" s="6" t="n"/>
      <c r="D41" s="6" t="n"/>
      <c r="E41" s="6" t="n"/>
      <c r="F41" s="6" t="n"/>
      <c r="G41" s="6" t="n"/>
      <c r="H41" s="6" t="n"/>
      <c r="I41" s="6" t="n"/>
      <c r="J41" s="6" t="n"/>
      <c r="K41" s="6" t="n"/>
      <c r="L41" s="6" t="n"/>
    </row>
    <row r="42">
      <c r="A42" s="6" t="n"/>
      <c r="B42" s="6" t="n"/>
      <c r="C42" s="6" t="n"/>
      <c r="D42" s="6" t="n"/>
      <c r="E42" s="6" t="n"/>
      <c r="F42" s="6" t="n"/>
      <c r="G42" s="6" t="n"/>
      <c r="H42" s="6" t="n"/>
      <c r="I42" s="6" t="n"/>
      <c r="J42" s="6" t="n"/>
      <c r="K42" s="6" t="n"/>
      <c r="L42" s="6" t="n"/>
    </row>
    <row r="43">
      <c r="A43" s="6" t="n"/>
      <c r="B43" s="6" t="n"/>
      <c r="C43" s="6" t="n"/>
      <c r="D43" s="6" t="n"/>
      <c r="E43" s="6" t="n"/>
      <c r="F43" s="6" t="n"/>
      <c r="G43" s="6" t="n"/>
      <c r="H43" s="6" t="n"/>
      <c r="I43" s="6" t="n"/>
      <c r="J43" s="6" t="n"/>
      <c r="K43" s="6" t="n"/>
      <c r="L43" s="6" t="n"/>
    </row>
    <row r="44">
      <c r="A44" s="6" t="n"/>
      <c r="B44" s="6" t="n"/>
      <c r="C44" s="6" t="n"/>
      <c r="D44" s="6" t="n"/>
      <c r="E44" s="6" t="n"/>
      <c r="F44" s="6" t="n"/>
      <c r="G44" s="6" t="n"/>
      <c r="H44" s="6" t="n"/>
      <c r="I44" s="6" t="n"/>
      <c r="J44" s="6" t="n"/>
      <c r="K44" s="6" t="n"/>
      <c r="L44" s="6" t="n"/>
    </row>
    <row r="45">
      <c r="A45" s="6" t="n"/>
      <c r="B45" s="6" t="n"/>
      <c r="C45" s="6" t="n"/>
      <c r="D45" s="6" t="n"/>
      <c r="E45" s="6" t="n"/>
      <c r="F45" s="6" t="n"/>
      <c r="G45" s="6" t="n"/>
      <c r="H45" s="6" t="n"/>
      <c r="I45" s="6" t="n"/>
      <c r="J45" s="6" t="n"/>
      <c r="K45" s="6" t="n"/>
      <c r="L45" s="6" t="n"/>
    </row>
    <row r="46">
      <c r="A46" s="6" t="n"/>
      <c r="B46" s="6" t="n"/>
      <c r="C46" s="6" t="n"/>
      <c r="D46" s="6" t="n"/>
      <c r="E46" s="6" t="n"/>
      <c r="F46" s="6" t="n"/>
      <c r="G46" s="6" t="n"/>
      <c r="H46" s="6" t="n"/>
      <c r="I46" s="6" t="n"/>
      <c r="J46" s="6" t="n"/>
      <c r="K46" s="6" t="n"/>
      <c r="L46" s="6" t="n"/>
    </row>
    <row r="47">
      <c r="A47" s="6" t="n"/>
      <c r="B47" s="6" t="n"/>
      <c r="C47" s="6" t="n"/>
      <c r="D47" s="6" t="n"/>
      <c r="E47" s="6" t="n"/>
      <c r="F47" s="6" t="n"/>
      <c r="G47" s="6" t="n"/>
      <c r="H47" s="6" t="n"/>
      <c r="I47" s="6" t="n"/>
      <c r="J47" s="6" t="n"/>
      <c r="K47" s="6" t="n"/>
      <c r="L47" s="6" t="n"/>
    </row>
    <row r="48">
      <c r="A48" s="6" t="n"/>
      <c r="B48" s="6" t="n"/>
      <c r="C48" s="6" t="n"/>
      <c r="D48" s="6" t="n"/>
      <c r="E48" s="6" t="n"/>
      <c r="F48" s="6" t="n"/>
      <c r="G48" s="6" t="n"/>
      <c r="H48" s="6" t="n"/>
      <c r="I48" s="6" t="n"/>
      <c r="J48" s="6" t="n"/>
      <c r="K48" s="6" t="n"/>
      <c r="L48" s="6" t="n"/>
    </row>
    <row r="49">
      <c r="A49" s="6" t="n"/>
      <c r="B49" s="6" t="n"/>
      <c r="C49" s="6" t="n"/>
      <c r="D49" s="6" t="n"/>
      <c r="E49" s="6" t="n"/>
      <c r="F49" s="6" t="n"/>
      <c r="G49" s="6" t="n"/>
      <c r="H49" s="6" t="n"/>
      <c r="I49" s="6" t="n"/>
      <c r="J49" s="6" t="n"/>
      <c r="K49" s="6" t="n"/>
      <c r="L49" s="6" t="n"/>
    </row>
    <row r="50">
      <c r="A50" s="6" t="n"/>
      <c r="B50" s="6" t="n"/>
      <c r="C50" s="6" t="n"/>
      <c r="D50" s="6" t="n"/>
      <c r="E50" s="6" t="n"/>
      <c r="F50" s="6" t="n"/>
      <c r="G50" s="6" t="n"/>
      <c r="H50" s="6" t="n"/>
      <c r="I50" s="6" t="n"/>
      <c r="J50" s="6" t="n"/>
      <c r="K50" s="6" t="n"/>
      <c r="L50" s="6" t="n"/>
    </row>
    <row r="51">
      <c r="A51" s="6" t="n"/>
      <c r="B51" s="6" t="n"/>
      <c r="C51" s="6" t="n"/>
      <c r="D51" s="6" t="n"/>
      <c r="E51" s="6" t="n"/>
      <c r="F51" s="6" t="n"/>
      <c r="G51" s="6" t="n"/>
      <c r="H51" s="6" t="n"/>
      <c r="I51" s="6" t="n"/>
      <c r="J51" s="6" t="n"/>
      <c r="K51" s="6" t="n"/>
      <c r="L51" s="6" t="n"/>
    </row>
    <row r="52">
      <c r="A52" s="6" t="n"/>
      <c r="B52" s="6" t="n"/>
      <c r="C52" s="6" t="n"/>
      <c r="D52" s="6" t="n"/>
      <c r="E52" s="6" t="n"/>
      <c r="F52" s="6" t="n"/>
      <c r="G52" s="6" t="n"/>
      <c r="H52" s="6" t="n"/>
      <c r="I52" s="6" t="n"/>
      <c r="J52" s="6" t="n"/>
      <c r="K52" s="6" t="n"/>
      <c r="L52" s="6" t="n"/>
    </row>
    <row r="53">
      <c r="A53" s="6" t="n"/>
      <c r="B53" s="6" t="n"/>
      <c r="C53" s="6" t="n"/>
      <c r="D53" s="6" t="n"/>
      <c r="E53" s="6" t="n"/>
      <c r="F53" s="6" t="n"/>
      <c r="G53" s="6" t="n"/>
      <c r="H53" s="6" t="n"/>
      <c r="I53" s="6" t="n"/>
      <c r="J53" s="6" t="n"/>
      <c r="K53" s="6" t="n"/>
      <c r="L53" s="6" t="n"/>
    </row>
    <row r="54">
      <c r="A54" s="6" t="n"/>
      <c r="B54" s="6" t="n"/>
      <c r="C54" s="6" t="n"/>
      <c r="D54" s="6" t="n"/>
      <c r="E54" s="6" t="n"/>
      <c r="F54" s="6" t="n"/>
      <c r="G54" s="6" t="n"/>
      <c r="H54" s="6" t="n"/>
      <c r="I54" s="6" t="n"/>
      <c r="J54" s="6" t="n"/>
      <c r="K54" s="6" t="n"/>
      <c r="L54" s="6" t="n"/>
    </row>
    <row r="55">
      <c r="A55" s="6" t="n"/>
      <c r="B55" s="6" t="n"/>
      <c r="C55" s="6" t="n"/>
      <c r="D55" s="6" t="n"/>
      <c r="E55" s="6" t="n"/>
      <c r="F55" s="6" t="n"/>
      <c r="G55" s="6" t="n"/>
      <c r="H55" s="6" t="n"/>
      <c r="I55" s="6" t="n"/>
      <c r="J55" s="6" t="n"/>
      <c r="K55" s="6" t="n"/>
      <c r="L55" s="6" t="n"/>
    </row>
    <row r="56">
      <c r="A56" s="6" t="n"/>
      <c r="B56" s="6" t="n"/>
      <c r="C56" s="6" t="n"/>
      <c r="D56" s="6" t="n"/>
      <c r="E56" s="6" t="n"/>
      <c r="F56" s="6" t="n"/>
      <c r="G56" s="6" t="n"/>
      <c r="H56" s="6" t="n"/>
      <c r="I56" s="6" t="n"/>
      <c r="J56" s="6" t="n"/>
      <c r="K56" s="6" t="n"/>
      <c r="L56" s="6" t="n"/>
    </row>
    <row r="57">
      <c r="A57" s="6" t="n"/>
      <c r="B57" s="6" t="n"/>
      <c r="C57" s="6" t="n"/>
      <c r="D57" s="6" t="n"/>
      <c r="E57" s="6" t="n"/>
      <c r="F57" s="6" t="n"/>
      <c r="G57" s="6" t="n"/>
      <c r="H57" s="6" t="n"/>
      <c r="I57" s="6" t="n"/>
      <c r="J57" s="6" t="n"/>
      <c r="K57" s="6" t="n"/>
      <c r="L57" s="6" t="n"/>
    </row>
    <row r="58">
      <c r="A58" s="6" t="n"/>
      <c r="B58" s="6" t="n"/>
      <c r="C58" s="6" t="n"/>
      <c r="D58" s="6" t="n"/>
      <c r="E58" s="6" t="n"/>
      <c r="F58" s="6" t="n"/>
      <c r="G58" s="6" t="n"/>
      <c r="H58" s="6" t="n"/>
      <c r="I58" s="6" t="n"/>
      <c r="J58" s="6" t="n"/>
      <c r="K58" s="6" t="n"/>
      <c r="L58" s="6" t="n"/>
    </row>
    <row r="59">
      <c r="A59" s="6" t="n"/>
      <c r="B59" s="6" t="n"/>
      <c r="C59" s="6" t="n"/>
      <c r="D59" s="6" t="n"/>
      <c r="E59" s="6" t="n"/>
      <c r="F59" s="6" t="n"/>
      <c r="G59" s="6" t="n"/>
      <c r="H59" s="6" t="n"/>
      <c r="I59" s="6" t="n"/>
      <c r="J59" s="6" t="n"/>
      <c r="K59" s="6" t="n"/>
      <c r="L59" s="6" t="n"/>
    </row>
    <row r="60">
      <c r="A60" s="6" t="n"/>
      <c r="B60" s="6" t="n"/>
      <c r="C60" s="6" t="n"/>
      <c r="D60" s="6" t="n"/>
      <c r="E60" s="6" t="n"/>
      <c r="F60" s="6" t="n"/>
      <c r="G60" s="6" t="n"/>
      <c r="H60" s="6" t="n"/>
      <c r="I60" s="6" t="n"/>
      <c r="J60" s="6" t="n"/>
      <c r="K60" s="6" t="n"/>
      <c r="L60" s="6" t="n"/>
    </row>
    <row r="61">
      <c r="A61" s="6" t="n"/>
      <c r="B61" s="6" t="n"/>
      <c r="C61" s="6" t="n"/>
      <c r="D61" s="6" t="n"/>
      <c r="E61" s="6" t="n"/>
      <c r="F61" s="6" t="n"/>
      <c r="G61" s="6" t="n"/>
      <c r="H61" s="6" t="n"/>
      <c r="I61" s="6" t="n"/>
      <c r="J61" s="6" t="n"/>
      <c r="K61" s="6" t="n"/>
      <c r="L61" s="6" t="n"/>
    </row>
    <row r="62">
      <c r="A62" s="6" t="n"/>
      <c r="B62" s="6" t="n"/>
      <c r="C62" s="6" t="n"/>
      <c r="D62" s="6" t="n"/>
      <c r="E62" s="6" t="n"/>
      <c r="F62" s="6" t="n"/>
      <c r="G62" s="6" t="n"/>
      <c r="H62" s="6" t="n"/>
      <c r="I62" s="6" t="n"/>
      <c r="J62" s="6" t="n"/>
      <c r="K62" s="6" t="n"/>
      <c r="L62" s="6" t="n"/>
    </row>
    <row r="63">
      <c r="A63" s="6" t="n"/>
      <c r="B63" s="6" t="n"/>
      <c r="C63" s="6" t="n"/>
      <c r="D63" s="6" t="n"/>
      <c r="E63" s="6" t="n"/>
      <c r="F63" s="6" t="n"/>
      <c r="G63" s="6" t="n"/>
      <c r="H63" s="6" t="n"/>
      <c r="I63" s="6" t="n"/>
      <c r="J63" s="6" t="n"/>
      <c r="K63" s="6" t="n"/>
      <c r="L63" s="6" t="n"/>
    </row>
    <row r="64">
      <c r="A64" s="6" t="n"/>
      <c r="B64" s="6" t="n"/>
      <c r="C64" s="6" t="n"/>
      <c r="D64" s="6" t="n"/>
      <c r="E64" s="6" t="n"/>
      <c r="F64" s="6" t="n"/>
      <c r="G64" s="6" t="n"/>
      <c r="H64" s="6" t="n"/>
      <c r="I64" s="6" t="n"/>
      <c r="J64" s="6" t="n"/>
      <c r="K64" s="6" t="n"/>
      <c r="L64" s="6" t="n"/>
    </row>
    <row r="65">
      <c r="A65" s="6" t="n"/>
      <c r="B65" s="6" t="n"/>
      <c r="C65" s="6" t="n"/>
      <c r="D65" s="6" t="n"/>
      <c r="E65" s="6" t="n"/>
      <c r="F65" s="6" t="n"/>
      <c r="G65" s="6" t="n"/>
      <c r="H65" s="6" t="n"/>
      <c r="I65" s="6" t="n"/>
      <c r="J65" s="6" t="n"/>
      <c r="K65" s="6" t="n"/>
      <c r="L65" s="6" t="n"/>
    </row>
    <row r="66">
      <c r="A66" s="6" t="n"/>
      <c r="B66" s="6" t="n"/>
      <c r="C66" s="6" t="n"/>
      <c r="D66" s="6" t="n"/>
      <c r="E66" s="6" t="n"/>
      <c r="F66" s="6" t="n"/>
      <c r="G66" s="6" t="n"/>
      <c r="H66" s="6" t="n"/>
      <c r="I66" s="6" t="n"/>
      <c r="J66" s="6" t="n"/>
      <c r="K66" s="6" t="n"/>
      <c r="L66" s="6" t="n"/>
    </row>
    <row r="67">
      <c r="A67" s="6" t="n"/>
      <c r="B67" s="6" t="n"/>
      <c r="C67" s="6" t="n"/>
      <c r="D67" s="6" t="n"/>
      <c r="E67" s="6" t="n"/>
      <c r="F67" s="6" t="n"/>
      <c r="G67" s="6" t="n"/>
      <c r="H67" s="6" t="n"/>
      <c r="I67" s="6" t="n"/>
      <c r="J67" s="6" t="n"/>
      <c r="K67" s="6" t="n"/>
      <c r="L67" s="6" t="n"/>
    </row>
    <row r="68">
      <c r="A68" s="6" t="n"/>
      <c r="B68" s="6" t="n"/>
      <c r="C68" s="6" t="n"/>
      <c r="D68" s="6" t="n"/>
      <c r="E68" s="6" t="n"/>
      <c r="F68" s="6" t="n"/>
      <c r="G68" s="6" t="n"/>
      <c r="H68" s="6" t="n"/>
      <c r="I68" s="6" t="n"/>
      <c r="J68" s="6" t="n"/>
      <c r="K68" s="6" t="n"/>
      <c r="L68" s="6" t="n"/>
    </row>
    <row r="69">
      <c r="A69" s="6" t="n"/>
      <c r="B69" s="6" t="n"/>
      <c r="C69" s="6" t="n"/>
      <c r="D69" s="6" t="n"/>
      <c r="E69" s="6" t="n"/>
      <c r="F69" s="6" t="n"/>
      <c r="G69" s="6" t="n"/>
      <c r="H69" s="6" t="n"/>
      <c r="I69" s="6" t="n"/>
      <c r="J69" s="6" t="n"/>
      <c r="K69" s="6" t="n"/>
      <c r="L69" s="6" t="n"/>
    </row>
    <row r="70">
      <c r="A70" s="6" t="n"/>
      <c r="B70" s="6" t="n"/>
      <c r="C70" s="6" t="n"/>
      <c r="D70" s="6" t="n"/>
      <c r="E70" s="6" t="n"/>
      <c r="F70" s="6" t="n"/>
      <c r="G70" s="6" t="n"/>
      <c r="H70" s="6" t="n"/>
      <c r="I70" s="6" t="n"/>
      <c r="J70" s="6" t="n"/>
      <c r="K70" s="6" t="n"/>
      <c r="L70" s="6" t="n"/>
    </row>
    <row r="71">
      <c r="A71" s="6" t="n"/>
      <c r="B71" s="6" t="n"/>
      <c r="C71" s="6" t="n"/>
      <c r="D71" s="6" t="n"/>
      <c r="E71" s="6" t="n"/>
      <c r="F71" s="6" t="n"/>
      <c r="G71" s="6" t="n"/>
      <c r="H71" s="6" t="n"/>
      <c r="I71" s="6" t="n"/>
      <c r="J71" s="6" t="n"/>
      <c r="K71" s="6" t="n"/>
      <c r="L71" s="6" t="n"/>
    </row>
    <row r="72">
      <c r="A72" s="6" t="n"/>
      <c r="B72" s="6" t="n"/>
      <c r="C72" s="6" t="n"/>
      <c r="D72" s="6" t="n"/>
      <c r="E72" s="6" t="n"/>
      <c r="F72" s="6" t="n"/>
      <c r="G72" s="6" t="n"/>
      <c r="H72" s="6" t="n"/>
      <c r="I72" s="6" t="n"/>
      <c r="J72" s="6" t="n"/>
      <c r="K72" s="6" t="n"/>
      <c r="L72" s="6" t="n"/>
    </row>
    <row r="73">
      <c r="A73" s="6" t="n"/>
      <c r="B73" s="6" t="n"/>
      <c r="C73" s="6" t="n"/>
      <c r="D73" s="6" t="n"/>
      <c r="E73" s="6" t="n"/>
      <c r="F73" s="6" t="n"/>
      <c r="G73" s="6" t="n"/>
      <c r="H73" s="6" t="n"/>
      <c r="I73" s="6" t="n"/>
      <c r="J73" s="6" t="n"/>
      <c r="K73" s="6" t="n"/>
      <c r="L73" s="6" t="n"/>
    </row>
    <row r="74">
      <c r="A74" s="6" t="n"/>
      <c r="B74" s="6" t="n"/>
      <c r="C74" s="6" t="n"/>
      <c r="D74" s="6" t="n"/>
      <c r="E74" s="6" t="n"/>
      <c r="F74" s="6" t="n"/>
      <c r="G74" s="6" t="n"/>
      <c r="H74" s="6" t="n"/>
      <c r="I74" s="6" t="n"/>
      <c r="J74" s="6" t="n"/>
      <c r="K74" s="6" t="n"/>
      <c r="L74" s="6" t="n"/>
    </row>
    <row r="75">
      <c r="A75" s="6" t="n"/>
      <c r="B75" s="6" t="n"/>
      <c r="C75" s="6" t="n"/>
      <c r="D75" s="6" t="n"/>
      <c r="E75" s="6" t="n"/>
      <c r="F75" s="6" t="n"/>
      <c r="G75" s="6" t="n"/>
      <c r="H75" s="6" t="n"/>
      <c r="I75" s="6" t="n"/>
      <c r="J75" s="6" t="n"/>
      <c r="K75" s="6" t="n"/>
      <c r="L75" s="6" t="n"/>
    </row>
    <row r="76">
      <c r="A76" s="6" t="n"/>
      <c r="B76" s="6" t="n"/>
      <c r="C76" s="6" t="n"/>
      <c r="D76" s="6" t="n"/>
      <c r="E76" s="6" t="n"/>
      <c r="F76" s="6" t="n"/>
      <c r="G76" s="6" t="n"/>
      <c r="H76" s="6" t="n"/>
      <c r="I76" s="6" t="n"/>
      <c r="J76" s="6" t="n"/>
      <c r="K76" s="6" t="n"/>
      <c r="L76" s="6" t="n"/>
    </row>
    <row r="77">
      <c r="A77" s="6" t="n"/>
      <c r="B77" s="6" t="n"/>
      <c r="C77" s="6" t="n"/>
      <c r="D77" s="6" t="n"/>
      <c r="E77" s="6" t="n"/>
      <c r="F77" s="6" t="n"/>
      <c r="G77" s="6" t="n"/>
      <c r="H77" s="6" t="n"/>
      <c r="I77" s="6" t="n"/>
      <c r="J77" s="6" t="n"/>
      <c r="K77" s="6" t="n"/>
      <c r="L77" s="6" t="n"/>
    </row>
    <row r="78">
      <c r="A78" s="6" t="n"/>
      <c r="B78" s="6" t="n"/>
      <c r="C78" s="6" t="n"/>
      <c r="D78" s="6" t="n"/>
      <c r="E78" s="6" t="n"/>
      <c r="F78" s="6" t="n"/>
      <c r="G78" s="6" t="n"/>
      <c r="H78" s="6" t="n"/>
      <c r="I78" s="6" t="n"/>
      <c r="J78" s="6" t="n"/>
      <c r="K78" s="6" t="n"/>
      <c r="L78" s="6" t="n"/>
    </row>
    <row r="79">
      <c r="A79" s="6" t="n"/>
      <c r="B79" s="6" t="n"/>
      <c r="C79" s="6" t="n"/>
      <c r="D79" s="6" t="n"/>
      <c r="E79" s="6" t="n"/>
      <c r="F79" s="6" t="n"/>
      <c r="G79" s="6" t="n"/>
      <c r="H79" s="6" t="n"/>
      <c r="I79" s="6" t="n"/>
      <c r="J79" s="6" t="n"/>
      <c r="K79" s="6" t="n"/>
      <c r="L79" s="6" t="n"/>
    </row>
    <row r="80">
      <c r="A80" s="6" t="n"/>
      <c r="B80" s="6" t="n"/>
      <c r="C80" s="6" t="n"/>
      <c r="D80" s="6" t="n"/>
      <c r="E80" s="6" t="n"/>
      <c r="F80" s="6" t="n"/>
      <c r="G80" s="6" t="n"/>
      <c r="H80" s="6" t="n"/>
      <c r="I80" s="6" t="n"/>
      <c r="J80" s="6" t="n"/>
      <c r="K80" s="6" t="n"/>
      <c r="L80" s="6" t="n"/>
    </row>
    <row r="81">
      <c r="A81" s="6" t="n"/>
      <c r="B81" s="6" t="n"/>
      <c r="C81" s="6" t="n"/>
      <c r="D81" s="6" t="n"/>
      <c r="E81" s="6" t="n"/>
      <c r="F81" s="6" t="n"/>
      <c r="G81" s="6" t="n"/>
      <c r="H81" s="6" t="n"/>
      <c r="I81" s="6" t="n"/>
      <c r="J81" s="6" t="n"/>
      <c r="K81" s="6" t="n"/>
      <c r="L81" s="6" t="n"/>
    </row>
    <row r="82">
      <c r="A82" s="6" t="n"/>
      <c r="B82" s="6" t="n"/>
      <c r="C82" s="6" t="n"/>
      <c r="D82" s="6" t="n"/>
      <c r="E82" s="6" t="n"/>
      <c r="F82" s="6" t="n"/>
      <c r="G82" s="6" t="n"/>
      <c r="H82" s="6" t="n"/>
      <c r="I82" s="6" t="n"/>
      <c r="J82" s="6" t="n"/>
      <c r="K82" s="6" t="n"/>
      <c r="L82" s="6" t="n"/>
    </row>
    <row r="83">
      <c r="A83" s="6" t="n"/>
      <c r="B83" s="6" t="n"/>
      <c r="C83" s="6" t="n"/>
      <c r="D83" s="6" t="n"/>
      <c r="E83" s="6" t="n"/>
      <c r="F83" s="6" t="n"/>
      <c r="G83" s="6" t="n"/>
      <c r="H83" s="6" t="n"/>
      <c r="I83" s="6" t="n"/>
      <c r="J83" s="6" t="n"/>
      <c r="K83" s="6" t="n"/>
      <c r="L83" s="6" t="n"/>
    </row>
    <row r="84">
      <c r="A84" s="6" t="n"/>
      <c r="B84" s="6" t="n"/>
      <c r="C84" s="6" t="n"/>
      <c r="D84" s="6" t="n"/>
      <c r="E84" s="6" t="n"/>
      <c r="F84" s="6" t="n"/>
      <c r="G84" s="6" t="n"/>
      <c r="H84" s="6" t="n"/>
      <c r="I84" s="6" t="n"/>
      <c r="J84" s="6" t="n"/>
      <c r="K84" s="6" t="n"/>
      <c r="L84" s="6" t="n"/>
    </row>
    <row r="85">
      <c r="A85" s="6" t="n"/>
      <c r="B85" s="6" t="n"/>
      <c r="C85" s="6" t="n"/>
      <c r="D85" s="6" t="n"/>
      <c r="E85" s="6" t="n"/>
      <c r="F85" s="6" t="n"/>
      <c r="G85" s="6" t="n"/>
      <c r="H85" s="6" t="n"/>
      <c r="I85" s="6" t="n"/>
      <c r="J85" s="6" t="n"/>
      <c r="K85" s="6" t="n"/>
      <c r="L85" s="6" t="n"/>
    </row>
    <row r="86">
      <c r="A86" s="6" t="n"/>
      <c r="B86" s="6" t="n"/>
      <c r="C86" s="6" t="n"/>
      <c r="D86" s="6" t="n"/>
      <c r="E86" s="6" t="n"/>
      <c r="F86" s="6" t="n"/>
      <c r="G86" s="6" t="n"/>
      <c r="H86" s="6" t="n"/>
      <c r="I86" s="6" t="n"/>
      <c r="J86" s="6" t="n"/>
      <c r="K86" s="6" t="n"/>
      <c r="L86" s="6" t="n"/>
    </row>
    <row r="87">
      <c r="A87" s="6" t="n"/>
      <c r="B87" s="6" t="n"/>
      <c r="C87" s="6" t="n"/>
      <c r="D87" s="6" t="n"/>
      <c r="E87" s="6" t="n"/>
      <c r="F87" s="6" t="n"/>
      <c r="G87" s="6" t="n"/>
      <c r="H87" s="6" t="n"/>
      <c r="I87" s="6" t="n"/>
      <c r="J87" s="6" t="n"/>
      <c r="K87" s="6" t="n"/>
      <c r="L87" s="6" t="n"/>
    </row>
    <row r="88">
      <c r="A88" s="6" t="n"/>
      <c r="B88" s="6" t="n"/>
      <c r="C88" s="6" t="n"/>
      <c r="D88" s="6" t="n"/>
      <c r="E88" s="6" t="n"/>
      <c r="F88" s="6" t="n"/>
      <c r="G88" s="6" t="n"/>
      <c r="H88" s="6" t="n"/>
      <c r="I88" s="6" t="n"/>
      <c r="J88" s="6" t="n"/>
      <c r="K88" s="6" t="n"/>
      <c r="L88" s="6" t="n"/>
    </row>
    <row r="89">
      <c r="A89" s="6" t="n"/>
      <c r="B89" s="6" t="n"/>
      <c r="C89" s="6" t="n"/>
      <c r="D89" s="6" t="n"/>
      <c r="E89" s="6" t="n"/>
      <c r="F89" s="6" t="n"/>
      <c r="G89" s="6" t="n"/>
      <c r="H89" s="6" t="n"/>
      <c r="I89" s="6" t="n"/>
      <c r="J89" s="6" t="n"/>
      <c r="K89" s="6" t="n"/>
      <c r="L89" s="6" t="n"/>
    </row>
    <row r="90">
      <c r="A90" s="6" t="n"/>
      <c r="B90" s="6" t="n"/>
      <c r="C90" s="6" t="n"/>
      <c r="D90" s="6" t="n"/>
      <c r="E90" s="6" t="n"/>
      <c r="F90" s="6" t="n"/>
      <c r="G90" s="6" t="n"/>
      <c r="H90" s="6" t="n"/>
      <c r="I90" s="6" t="n"/>
      <c r="J90" s="6" t="n"/>
      <c r="K90" s="6" t="n"/>
      <c r="L90" s="6" t="n"/>
    </row>
    <row r="91">
      <c r="A91" s="6" t="n"/>
      <c r="B91" s="6" t="n"/>
      <c r="C91" s="6" t="n"/>
      <c r="D91" s="6" t="n"/>
      <c r="E91" s="6" t="n"/>
      <c r="F91" s="6" t="n"/>
      <c r="G91" s="6" t="n"/>
      <c r="H91" s="6" t="n"/>
      <c r="I91" s="6" t="n"/>
      <c r="J91" s="6" t="n"/>
      <c r="K91" s="6" t="n"/>
      <c r="L91" s="6" t="n"/>
    </row>
    <row r="92">
      <c r="A92" s="6" t="n"/>
      <c r="B92" s="6" t="n"/>
      <c r="C92" s="6" t="n"/>
      <c r="D92" s="6" t="n"/>
      <c r="E92" s="6" t="n"/>
      <c r="F92" s="6" t="n"/>
      <c r="G92" s="6" t="n"/>
      <c r="H92" s="6" t="n"/>
      <c r="I92" s="6" t="n"/>
      <c r="J92" s="6" t="n"/>
      <c r="K92" s="6" t="n"/>
      <c r="L92" s="6" t="n"/>
    </row>
    <row r="93">
      <c r="A93" s="6" t="n"/>
      <c r="B93" s="6" t="n"/>
      <c r="C93" s="6" t="n"/>
      <c r="D93" s="6" t="n"/>
      <c r="E93" s="6" t="n"/>
      <c r="F93" s="6" t="n"/>
      <c r="G93" s="6" t="n"/>
      <c r="H93" s="6" t="n"/>
      <c r="I93" s="6" t="n"/>
      <c r="J93" s="6" t="n"/>
      <c r="K93" s="6" t="n"/>
      <c r="L93" s="6" t="n"/>
    </row>
    <row r="94">
      <c r="A94" s="6" t="n"/>
      <c r="B94" s="6" t="n"/>
      <c r="C94" s="6" t="n"/>
      <c r="D94" s="6" t="n"/>
      <c r="E94" s="6" t="n"/>
      <c r="F94" s="6" t="n"/>
      <c r="G94" s="6" t="n"/>
      <c r="H94" s="6" t="n"/>
      <c r="I94" s="6" t="n"/>
      <c r="J94" s="6" t="n"/>
      <c r="K94" s="6" t="n"/>
      <c r="L94" s="6" t="n"/>
    </row>
    <row r="95">
      <c r="A95" s="6" t="n"/>
      <c r="B95" s="6" t="n"/>
      <c r="C95" s="6" t="n"/>
      <c r="D95" s="6" t="n"/>
      <c r="E95" s="6" t="n"/>
      <c r="F95" s="6" t="n"/>
      <c r="G95" s="6" t="n"/>
      <c r="H95" s="6" t="n"/>
      <c r="I95" s="6" t="n"/>
      <c r="J95" s="6" t="n"/>
      <c r="K95" s="6" t="n"/>
      <c r="L95" s="6" t="n"/>
    </row>
    <row r="96">
      <c r="A96" s="6" t="n"/>
      <c r="B96" s="6" t="n"/>
      <c r="C96" s="6" t="n"/>
      <c r="D96" s="6" t="n"/>
      <c r="E96" s="6" t="n"/>
      <c r="F96" s="6" t="n"/>
      <c r="G96" s="6" t="n"/>
      <c r="H96" s="6" t="n"/>
      <c r="I96" s="6" t="n"/>
      <c r="J96" s="6" t="n"/>
      <c r="K96" s="6" t="n"/>
      <c r="L96" s="6" t="n"/>
    </row>
    <row r="97">
      <c r="A97" s="6" t="n"/>
      <c r="B97" s="6" t="n"/>
      <c r="C97" s="6" t="n"/>
      <c r="D97" s="6" t="n"/>
      <c r="E97" s="6" t="n"/>
      <c r="F97" s="6" t="n"/>
      <c r="G97" s="6" t="n"/>
      <c r="H97" s="6" t="n"/>
      <c r="I97" s="6" t="n"/>
      <c r="J97" s="6" t="n"/>
      <c r="K97" s="6" t="n"/>
      <c r="L97" s="6" t="n"/>
    </row>
    <row r="98">
      <c r="A98" s="6" t="n"/>
      <c r="B98" s="6" t="n"/>
      <c r="C98" s="6" t="n"/>
      <c r="D98" s="6" t="n"/>
      <c r="E98" s="6" t="n"/>
      <c r="F98" s="6" t="n"/>
      <c r="G98" s="6" t="n"/>
      <c r="H98" s="6" t="n"/>
      <c r="I98" s="6" t="n"/>
      <c r="J98" s="6" t="n"/>
      <c r="K98" s="6" t="n"/>
      <c r="L98" s="6" t="n"/>
    </row>
    <row r="99">
      <c r="A99" s="6" t="n"/>
      <c r="B99" s="6" t="n"/>
      <c r="C99" s="6" t="n"/>
      <c r="D99" s="6" t="n"/>
      <c r="E99" s="6" t="n"/>
      <c r="F99" s="6" t="n"/>
      <c r="G99" s="6" t="n"/>
      <c r="H99" s="6" t="n"/>
      <c r="I99" s="6" t="n"/>
      <c r="J99" s="6" t="n"/>
      <c r="K99" s="6" t="n"/>
      <c r="L99" s="6" t="n"/>
    </row>
    <row r="100">
      <c r="A100" s="6" t="n"/>
      <c r="B100" s="6" t="n"/>
      <c r="C100" s="6" t="n"/>
      <c r="D100" s="6" t="n"/>
      <c r="E100" s="6" t="n"/>
      <c r="F100" s="6" t="n"/>
      <c r="G100" s="6" t="n"/>
      <c r="H100" s="6" t="n"/>
      <c r="I100" s="6" t="n"/>
      <c r="J100" s="6" t="n"/>
      <c r="K100" s="6" t="n"/>
      <c r="L100" s="6" t="n"/>
    </row>
    <row r="101">
      <c r="A101" s="6" t="n"/>
      <c r="B101" s="6" t="n"/>
      <c r="C101" s="6" t="n"/>
      <c r="D101" s="6" t="n"/>
      <c r="E101" s="6" t="n"/>
      <c r="F101" s="6" t="n"/>
      <c r="G101" s="6" t="n"/>
      <c r="H101" s="6" t="n"/>
      <c r="I101" s="6" t="n"/>
      <c r="J101" s="6" t="n"/>
      <c r="K101" s="6" t="n"/>
      <c r="L101" s="6" t="n"/>
    </row>
    <row r="102">
      <c r="A102" s="6" t="n"/>
      <c r="B102" s="6" t="n"/>
      <c r="C102" s="6" t="n"/>
      <c r="D102" s="6" t="n"/>
      <c r="E102" s="6" t="n"/>
      <c r="F102" s="6" t="n"/>
      <c r="G102" s="6" t="n"/>
      <c r="H102" s="6" t="n"/>
      <c r="I102" s="6" t="n"/>
      <c r="J102" s="6" t="n"/>
      <c r="K102" s="6" t="n"/>
      <c r="L102" s="6" t="n"/>
    </row>
    <row r="103">
      <c r="A103" s="6" t="n"/>
      <c r="B103" s="6" t="n"/>
      <c r="C103" s="6" t="n"/>
      <c r="D103" s="6" t="n"/>
      <c r="E103" s="6" t="n"/>
      <c r="F103" s="6" t="n"/>
      <c r="G103" s="6" t="n"/>
      <c r="H103" s="6" t="n"/>
      <c r="I103" s="6" t="n"/>
      <c r="J103" s="6" t="n"/>
      <c r="K103" s="6" t="n"/>
      <c r="L103" s="6" t="n"/>
    </row>
    <row r="104">
      <c r="A104" s="6" t="n"/>
      <c r="B104" s="6" t="n"/>
      <c r="C104" s="6" t="n"/>
      <c r="D104" s="6" t="n"/>
      <c r="E104" s="6" t="n"/>
      <c r="F104" s="6" t="n"/>
      <c r="G104" s="6" t="n"/>
      <c r="H104" s="6" t="n"/>
      <c r="I104" s="6" t="n"/>
      <c r="J104" s="6" t="n"/>
      <c r="K104" s="6" t="n"/>
      <c r="L104" s="6" t="n"/>
    </row>
    <row r="105">
      <c r="A105" s="6" t="n"/>
      <c r="B105" s="6" t="n"/>
      <c r="C105" s="6" t="n"/>
      <c r="D105" s="6" t="n"/>
      <c r="E105" s="6" t="n"/>
      <c r="F105" s="6" t="n"/>
      <c r="G105" s="6" t="n"/>
      <c r="H105" s="6" t="n"/>
      <c r="I105" s="6" t="n"/>
      <c r="J105" s="6" t="n"/>
      <c r="K105" s="6" t="n"/>
      <c r="L105" s="6" t="n"/>
    </row>
    <row r="106">
      <c r="A106" s="6" t="n"/>
      <c r="B106" s="6" t="n"/>
      <c r="C106" s="6" t="n"/>
      <c r="D106" s="6" t="n"/>
      <c r="E106" s="6" t="n"/>
      <c r="F106" s="6" t="n"/>
      <c r="G106" s="6" t="n"/>
      <c r="H106" s="6" t="n"/>
      <c r="I106" s="6" t="n"/>
      <c r="J106" s="6" t="n"/>
      <c r="K106" s="6" t="n"/>
      <c r="L106" s="6" t="n"/>
    </row>
    <row r="107">
      <c r="A107" s="6" t="n"/>
      <c r="B107" s="6" t="n"/>
      <c r="C107" s="6" t="n"/>
      <c r="D107" s="6" t="n"/>
      <c r="E107" s="6" t="n"/>
      <c r="F107" s="6" t="n"/>
      <c r="G107" s="6" t="n"/>
      <c r="H107" s="6" t="n"/>
      <c r="I107" s="6" t="n"/>
      <c r="J107" s="6" t="n"/>
      <c r="K107" s="6" t="n"/>
      <c r="L107" s="6" t="n"/>
    </row>
    <row r="108">
      <c r="A108" s="6" t="n"/>
      <c r="B108" s="6" t="n"/>
      <c r="C108" s="6" t="n"/>
      <c r="D108" s="6" t="n"/>
      <c r="E108" s="6" t="n"/>
      <c r="F108" s="6" t="n"/>
      <c r="G108" s="6" t="n"/>
      <c r="H108" s="6" t="n"/>
      <c r="I108" s="6" t="n"/>
      <c r="J108" s="6" t="n"/>
      <c r="K108" s="6" t="n"/>
      <c r="L108" s="6" t="n"/>
    </row>
    <row r="109">
      <c r="A109" s="6" t="n"/>
      <c r="B109" s="6" t="n"/>
      <c r="C109" s="6" t="n"/>
      <c r="D109" s="6" t="n"/>
      <c r="E109" s="6" t="n"/>
      <c r="F109" s="6" t="n"/>
      <c r="G109" s="6" t="n"/>
      <c r="H109" s="6" t="n"/>
      <c r="I109" s="6" t="n"/>
      <c r="J109" s="6" t="n"/>
      <c r="K109" s="6" t="n"/>
      <c r="L109" s="6" t="n"/>
    </row>
    <row r="110">
      <c r="A110" s="6" t="n"/>
      <c r="B110" s="6" t="n"/>
      <c r="C110" s="6" t="n"/>
      <c r="D110" s="6" t="n"/>
      <c r="E110" s="6" t="n"/>
      <c r="F110" s="6" t="n"/>
      <c r="G110" s="6" t="n"/>
      <c r="H110" s="6" t="n"/>
      <c r="I110" s="6" t="n"/>
      <c r="J110" s="6" t="n"/>
      <c r="K110" s="6" t="n"/>
      <c r="L110" s="6" t="n"/>
    </row>
    <row r="111">
      <c r="A111" s="6" t="n"/>
      <c r="B111" s="6" t="n"/>
      <c r="C111" s="6" t="n"/>
      <c r="D111" s="6" t="n"/>
      <c r="E111" s="6" t="n"/>
      <c r="F111" s="6" t="n"/>
      <c r="G111" s="6" t="n"/>
      <c r="H111" s="6" t="n"/>
      <c r="I111" s="6" t="n"/>
      <c r="J111" s="6" t="n"/>
      <c r="K111" s="6" t="n"/>
      <c r="L111" s="6" t="n"/>
    </row>
    <row r="112">
      <c r="A112" s="6" t="n"/>
      <c r="B112" s="6" t="n"/>
      <c r="C112" s="6" t="n"/>
      <c r="D112" s="6" t="n"/>
      <c r="E112" s="6" t="n"/>
      <c r="F112" s="6" t="n"/>
      <c r="G112" s="6" t="n"/>
      <c r="H112" s="6" t="n"/>
      <c r="I112" s="6" t="n"/>
      <c r="J112" s="6" t="n"/>
      <c r="K112" s="6" t="n"/>
      <c r="L112" s="6" t="n"/>
    </row>
    <row r="113">
      <c r="A113" s="6" t="n"/>
      <c r="B113" s="6" t="n"/>
      <c r="C113" s="6" t="n"/>
      <c r="D113" s="6" t="n"/>
      <c r="E113" s="6" t="n"/>
      <c r="F113" s="6" t="n"/>
      <c r="G113" s="6" t="n"/>
      <c r="H113" s="6" t="n"/>
      <c r="I113" s="6" t="n"/>
      <c r="J113" s="6" t="n"/>
      <c r="K113" s="6" t="n"/>
      <c r="L113" s="6" t="n"/>
    </row>
    <row r="114">
      <c r="A114" s="6" t="n"/>
      <c r="B114" s="6" t="n"/>
      <c r="C114" s="6" t="n"/>
      <c r="D114" s="6" t="n"/>
      <c r="E114" s="6" t="n"/>
      <c r="F114" s="6" t="n"/>
      <c r="G114" s="6" t="n"/>
      <c r="H114" s="6" t="n"/>
      <c r="I114" s="6" t="n"/>
      <c r="J114" s="6" t="n"/>
      <c r="K114" s="6" t="n"/>
      <c r="L114" s="6" t="n"/>
    </row>
    <row r="115">
      <c r="A115" s="6" t="n"/>
      <c r="B115" s="6" t="n"/>
      <c r="C115" s="6" t="n"/>
      <c r="D115" s="6" t="n"/>
      <c r="E115" s="6" t="n"/>
      <c r="F115" s="6" t="n"/>
      <c r="G115" s="6" t="n"/>
      <c r="H115" s="6" t="n"/>
      <c r="I115" s="6" t="n"/>
      <c r="J115" s="6" t="n"/>
      <c r="K115" s="6" t="n"/>
      <c r="L115" s="6" t="n"/>
    </row>
    <row r="116">
      <c r="A116" s="6" t="n"/>
      <c r="B116" s="6" t="n"/>
      <c r="C116" s="6" t="n"/>
      <c r="D116" s="6" t="n"/>
      <c r="E116" s="6" t="n"/>
      <c r="F116" s="6" t="n"/>
      <c r="G116" s="6" t="n"/>
      <c r="H116" s="6" t="n"/>
      <c r="I116" s="6" t="n"/>
      <c r="J116" s="6" t="n"/>
      <c r="K116" s="6" t="n"/>
      <c r="L116" s="6" t="n"/>
    </row>
    <row r="117">
      <c r="A117" s="6" t="n"/>
      <c r="B117" s="6" t="n"/>
      <c r="C117" s="6" t="n"/>
      <c r="D117" s="6" t="n"/>
      <c r="E117" s="6" t="n"/>
      <c r="F117" s="6" t="n"/>
      <c r="G117" s="6" t="n"/>
      <c r="H117" s="6" t="n"/>
      <c r="I117" s="6" t="n"/>
      <c r="J117" s="6" t="n"/>
      <c r="K117" s="6" t="n"/>
      <c r="L117" s="6" t="n"/>
    </row>
    <row r="118">
      <c r="A118" s="6" t="n"/>
      <c r="B118" s="6" t="n"/>
      <c r="C118" s="6" t="n"/>
      <c r="D118" s="6" t="n"/>
      <c r="E118" s="6" t="n"/>
      <c r="F118" s="6" t="n"/>
      <c r="G118" s="6" t="n"/>
      <c r="H118" s="6" t="n"/>
      <c r="I118" s="6" t="n"/>
      <c r="J118" s="6" t="n"/>
      <c r="K118" s="6" t="n"/>
      <c r="L118" s="6" t="n"/>
    </row>
    <row r="119">
      <c r="A119" s="6" t="n"/>
      <c r="B119" s="6" t="n"/>
      <c r="C119" s="6" t="n"/>
      <c r="D119" s="6" t="n"/>
      <c r="E119" s="6" t="n"/>
      <c r="F119" s="6" t="n"/>
      <c r="G119" s="6" t="n"/>
      <c r="H119" s="6" t="n"/>
      <c r="I119" s="6" t="n"/>
      <c r="J119" s="6" t="n"/>
      <c r="K119" s="6" t="n"/>
      <c r="L119" s="6" t="n"/>
    </row>
    <row r="120">
      <c r="A120" s="6" t="n"/>
      <c r="B120" s="6" t="n"/>
      <c r="C120" s="6" t="n"/>
      <c r="D120" s="6" t="n"/>
      <c r="E120" s="6" t="n"/>
      <c r="F120" s="6" t="n"/>
      <c r="G120" s="6" t="n"/>
      <c r="H120" s="6" t="n"/>
      <c r="I120" s="6" t="n"/>
      <c r="J120" s="6" t="n"/>
      <c r="K120" s="6" t="n"/>
      <c r="L120" s="6" t="n"/>
    </row>
    <row r="121">
      <c r="A121" s="6" t="n"/>
      <c r="B121" s="6" t="n"/>
      <c r="C121" s="6" t="n"/>
      <c r="D121" s="6" t="n"/>
      <c r="E121" s="6" t="n"/>
      <c r="F121" s="6" t="n"/>
      <c r="G121" s="6" t="n"/>
      <c r="H121" s="6" t="n"/>
      <c r="I121" s="6" t="n"/>
      <c r="J121" s="6" t="n"/>
      <c r="K121" s="6" t="n"/>
      <c r="L121" s="6" t="n"/>
    </row>
    <row r="122">
      <c r="A122" s="6" t="n"/>
      <c r="B122" s="6" t="n"/>
      <c r="C122" s="6" t="n"/>
      <c r="D122" s="6" t="n"/>
      <c r="E122" s="6" t="n"/>
      <c r="F122" s="6" t="n"/>
      <c r="G122" s="6" t="n"/>
      <c r="H122" s="6" t="n"/>
      <c r="I122" s="6" t="n"/>
      <c r="J122" s="6" t="n"/>
      <c r="K122" s="6" t="n"/>
      <c r="L122" s="6" t="n"/>
    </row>
    <row r="123">
      <c r="A123" s="6" t="n"/>
      <c r="B123" s="6" t="n"/>
      <c r="C123" s="6" t="n"/>
      <c r="D123" s="6" t="n"/>
      <c r="E123" s="6" t="n"/>
      <c r="F123" s="6" t="n"/>
      <c r="G123" s="6" t="n"/>
      <c r="H123" s="6" t="n"/>
      <c r="I123" s="6" t="n"/>
      <c r="J123" s="6" t="n"/>
      <c r="K123" s="6" t="n"/>
      <c r="L123" s="6" t="n"/>
    </row>
    <row r="124">
      <c r="A124" s="6" t="n"/>
      <c r="B124" s="6" t="n"/>
      <c r="C124" s="6" t="n"/>
      <c r="D124" s="6" t="n"/>
      <c r="E124" s="6" t="n"/>
      <c r="F124" s="6" t="n"/>
      <c r="G124" s="6" t="n"/>
      <c r="H124" s="6" t="n"/>
      <c r="I124" s="6" t="n"/>
      <c r="J124" s="6" t="n"/>
      <c r="K124" s="6" t="n"/>
      <c r="L124" s="6" t="n"/>
    </row>
    <row r="125">
      <c r="A125" s="6" t="n"/>
      <c r="B125" s="6" t="n"/>
      <c r="C125" s="6" t="n"/>
      <c r="D125" s="6" t="n"/>
      <c r="E125" s="6" t="n"/>
      <c r="F125" s="6" t="n"/>
      <c r="G125" s="6" t="n"/>
      <c r="H125" s="6" t="n"/>
      <c r="I125" s="6" t="n"/>
      <c r="J125" s="6" t="n"/>
      <c r="K125" s="6" t="n"/>
      <c r="L125" s="6" t="n"/>
    </row>
    <row r="126">
      <c r="A126" s="6" t="n"/>
      <c r="B126" s="6" t="n"/>
      <c r="C126" s="6" t="n"/>
      <c r="D126" s="6" t="n"/>
      <c r="E126" s="6" t="n"/>
      <c r="F126" s="6" t="n"/>
      <c r="G126" s="6" t="n"/>
      <c r="H126" s="6" t="n"/>
      <c r="I126" s="6" t="n"/>
      <c r="J126" s="6" t="n"/>
      <c r="K126" s="6" t="n"/>
      <c r="L126" s="6" t="n"/>
    </row>
    <row r="127">
      <c r="A127" s="6" t="n"/>
      <c r="B127" s="6" t="n"/>
      <c r="C127" s="6" t="n"/>
      <c r="D127" s="6" t="n"/>
      <c r="E127" s="6" t="n"/>
      <c r="F127" s="6" t="n"/>
      <c r="G127" s="6" t="n"/>
      <c r="H127" s="6" t="n"/>
      <c r="I127" s="6" t="n"/>
      <c r="J127" s="6" t="n"/>
      <c r="K127" s="6" t="n"/>
      <c r="L127" s="6" t="n"/>
    </row>
    <row r="128">
      <c r="A128" s="6" t="n"/>
      <c r="B128" s="6" t="n"/>
      <c r="C128" s="6" t="n"/>
      <c r="D128" s="6" t="n"/>
      <c r="E128" s="6" t="n"/>
      <c r="F128" s="6" t="n"/>
      <c r="G128" s="6" t="n"/>
      <c r="H128" s="6" t="n"/>
      <c r="I128" s="6" t="n"/>
      <c r="J128" s="6" t="n"/>
      <c r="K128" s="6" t="n"/>
      <c r="L128" s="6" t="n"/>
    </row>
    <row r="129">
      <c r="A129" s="6" t="n"/>
      <c r="B129" s="6" t="n"/>
      <c r="C129" s="6" t="n"/>
      <c r="D129" s="6" t="n"/>
      <c r="E129" s="6" t="n"/>
      <c r="F129" s="6" t="n"/>
      <c r="G129" s="6" t="n"/>
      <c r="H129" s="6" t="n"/>
      <c r="I129" s="6" t="n"/>
      <c r="J129" s="6" t="n"/>
      <c r="K129" s="6" t="n"/>
      <c r="L129" s="6" t="n"/>
    </row>
    <row r="130">
      <c r="A130" s="6" t="n"/>
      <c r="B130" s="6" t="n"/>
      <c r="C130" s="6" t="n"/>
      <c r="D130" s="6" t="n"/>
      <c r="E130" s="6" t="n"/>
      <c r="F130" s="6" t="n"/>
      <c r="G130" s="6" t="n"/>
      <c r="H130" s="6" t="n"/>
      <c r="I130" s="6" t="n"/>
      <c r="J130" s="6" t="n"/>
      <c r="K130" s="6" t="n"/>
      <c r="L130" s="6" t="n"/>
    </row>
    <row r="131">
      <c r="A131" s="6" t="n"/>
      <c r="B131" s="6" t="n"/>
      <c r="C131" s="6" t="n"/>
      <c r="D131" s="6" t="n"/>
      <c r="E131" s="6" t="n"/>
      <c r="F131" s="6" t="n"/>
      <c r="G131" s="6" t="n"/>
      <c r="H131" s="6" t="n"/>
      <c r="I131" s="6" t="n"/>
      <c r="J131" s="6" t="n"/>
      <c r="K131" s="6" t="n"/>
      <c r="L131" s="6" t="n"/>
    </row>
    <row r="132">
      <c r="A132" s="6" t="n"/>
      <c r="B132" s="6" t="n"/>
      <c r="C132" s="6" t="n"/>
      <c r="D132" s="6" t="n"/>
      <c r="E132" s="6" t="n"/>
      <c r="F132" s="6" t="n"/>
      <c r="G132" s="6" t="n"/>
      <c r="H132" s="6" t="n"/>
      <c r="I132" s="6" t="n"/>
      <c r="J132" s="6" t="n"/>
      <c r="K132" s="6" t="n"/>
      <c r="L132" s="6" t="n"/>
    </row>
    <row r="133">
      <c r="A133" s="6" t="n"/>
      <c r="B133" s="6" t="n"/>
      <c r="C133" s="6" t="n"/>
      <c r="D133" s="6" t="n"/>
      <c r="E133" s="6" t="n"/>
      <c r="F133" s="6" t="n"/>
      <c r="G133" s="6" t="n"/>
      <c r="H133" s="6" t="n"/>
      <c r="I133" s="6" t="n"/>
      <c r="J133" s="6" t="n"/>
      <c r="K133" s="6" t="n"/>
      <c r="L133" s="6" t="n"/>
    </row>
    <row r="134">
      <c r="A134" s="6" t="n"/>
      <c r="B134" s="6" t="n"/>
      <c r="C134" s="6" t="n"/>
      <c r="D134" s="6" t="n"/>
      <c r="E134" s="6" t="n"/>
      <c r="F134" s="6" t="n"/>
      <c r="G134" s="6" t="n"/>
      <c r="H134" s="6" t="n"/>
      <c r="I134" s="6" t="n"/>
      <c r="J134" s="6" t="n"/>
      <c r="K134" s="6" t="n"/>
      <c r="L134" s="6" t="n"/>
    </row>
    <row r="135">
      <c r="A135" s="6" t="n"/>
      <c r="B135" s="6" t="n"/>
      <c r="C135" s="6" t="n"/>
      <c r="D135" s="6" t="n"/>
      <c r="E135" s="6" t="n"/>
      <c r="F135" s="6" t="n"/>
      <c r="G135" s="6" t="n"/>
      <c r="H135" s="6" t="n"/>
      <c r="I135" s="6" t="n"/>
      <c r="J135" s="6" t="n"/>
      <c r="K135" s="6" t="n"/>
      <c r="L135" s="6" t="n"/>
    </row>
    <row r="136">
      <c r="A136" s="6" t="n"/>
      <c r="B136" s="6" t="n"/>
      <c r="C136" s="6" t="n"/>
      <c r="D136" s="6" t="n"/>
      <c r="E136" s="6" t="n"/>
      <c r="F136" s="6" t="n"/>
      <c r="G136" s="6" t="n"/>
      <c r="H136" s="6" t="n"/>
      <c r="I136" s="6" t="n"/>
      <c r="J136" s="6" t="n"/>
      <c r="K136" s="6" t="n"/>
      <c r="L136" s="6" t="n"/>
    </row>
    <row r="137">
      <c r="A137" s="6" t="n"/>
      <c r="B137" s="6" t="n"/>
      <c r="C137" s="6" t="n"/>
      <c r="D137" s="6" t="n"/>
      <c r="E137" s="6" t="n"/>
      <c r="F137" s="6" t="n"/>
      <c r="G137" s="6" t="n"/>
      <c r="H137" s="6" t="n"/>
      <c r="I137" s="6" t="n"/>
      <c r="J137" s="6" t="n"/>
      <c r="K137" s="6" t="n"/>
      <c r="L137" s="6" t="n"/>
    </row>
    <row r="138">
      <c r="A138" s="6" t="n"/>
      <c r="B138" s="6" t="n"/>
      <c r="C138" s="6" t="n"/>
      <c r="D138" s="6" t="n"/>
      <c r="E138" s="6" t="n"/>
      <c r="F138" s="6" t="n"/>
      <c r="G138" s="6" t="n"/>
      <c r="H138" s="6" t="n"/>
      <c r="I138" s="6" t="n"/>
      <c r="J138" s="6" t="n"/>
      <c r="K138" s="6" t="n"/>
      <c r="L138" s="6" t="n"/>
    </row>
    <row r="139">
      <c r="A139" s="6" t="n"/>
      <c r="B139" s="6" t="n"/>
      <c r="C139" s="6" t="n"/>
      <c r="D139" s="6" t="n"/>
      <c r="E139" s="6" t="n"/>
      <c r="F139" s="6" t="n"/>
      <c r="G139" s="6" t="n"/>
      <c r="H139" s="6" t="n"/>
      <c r="I139" s="6" t="n"/>
      <c r="J139" s="6" t="n"/>
      <c r="K139" s="6" t="n"/>
      <c r="L139" s="6" t="n"/>
    </row>
    <row r="140">
      <c r="A140" s="6" t="n"/>
      <c r="B140" s="6" t="n"/>
      <c r="C140" s="6" t="n"/>
      <c r="D140" s="6" t="n"/>
      <c r="E140" s="6" t="n"/>
      <c r="F140" s="6" t="n"/>
      <c r="G140" s="6" t="n"/>
      <c r="H140" s="6" t="n"/>
      <c r="I140" s="6" t="n"/>
      <c r="J140" s="6" t="n"/>
      <c r="K140" s="6" t="n"/>
      <c r="L140" s="6" t="n"/>
    </row>
    <row r="141">
      <c r="A141" s="6" t="n"/>
      <c r="B141" s="6" t="n"/>
      <c r="C141" s="6" t="n"/>
      <c r="D141" s="6" t="n"/>
      <c r="E141" s="6" t="n"/>
      <c r="F141" s="6" t="n"/>
      <c r="G141" s="6" t="n"/>
      <c r="H141" s="6" t="n"/>
      <c r="I141" s="6" t="n"/>
      <c r="J141" s="6" t="n"/>
      <c r="K141" s="6" t="n"/>
      <c r="L141" s="6" t="n"/>
    </row>
    <row r="142">
      <c r="A142" s="6" t="n"/>
      <c r="B142" s="6" t="n"/>
      <c r="C142" s="6" t="n"/>
      <c r="D142" s="6" t="n"/>
      <c r="E142" s="6" t="n"/>
      <c r="F142" s="6" t="n"/>
      <c r="G142" s="6" t="n"/>
      <c r="H142" s="6" t="n"/>
      <c r="I142" s="6" t="n"/>
      <c r="J142" s="6" t="n"/>
      <c r="K142" s="6" t="n"/>
      <c r="L142" s="6" t="n"/>
    </row>
    <row r="143">
      <c r="A143" s="6" t="n"/>
      <c r="B143" s="6" t="n"/>
      <c r="C143" s="6" t="n"/>
      <c r="D143" s="6" t="n"/>
      <c r="E143" s="6" t="n"/>
      <c r="F143" s="6" t="n"/>
      <c r="G143" s="6" t="n"/>
      <c r="H143" s="6" t="n"/>
      <c r="I143" s="6" t="n"/>
      <c r="J143" s="6" t="n"/>
      <c r="K143" s="6" t="n"/>
      <c r="L143" s="6" t="n"/>
    </row>
    <row r="144">
      <c r="A144" s="6" t="n"/>
      <c r="B144" s="6" t="n"/>
      <c r="C144" s="6" t="n"/>
      <c r="D144" s="6" t="n"/>
      <c r="E144" s="6" t="n"/>
      <c r="F144" s="6" t="n"/>
      <c r="G144" s="6" t="n"/>
      <c r="H144" s="6" t="n"/>
      <c r="I144" s="6" t="n"/>
      <c r="J144" s="6" t="n"/>
      <c r="K144" s="6" t="n"/>
      <c r="L144" s="6" t="n"/>
    </row>
    <row r="145">
      <c r="A145" s="6" t="n"/>
      <c r="B145" s="6" t="n"/>
      <c r="C145" s="6" t="n"/>
      <c r="D145" s="6" t="n"/>
      <c r="E145" s="6" t="n"/>
      <c r="F145" s="6" t="n"/>
      <c r="G145" s="6" t="n"/>
      <c r="H145" s="6" t="n"/>
      <c r="I145" s="6" t="n"/>
      <c r="J145" s="6" t="n"/>
      <c r="K145" s="6" t="n"/>
      <c r="L145" s="6" t="n"/>
    </row>
    <row r="146">
      <c r="A146" s="6" t="n"/>
      <c r="B146" s="6" t="n"/>
      <c r="C146" s="6" t="n"/>
      <c r="D146" s="6" t="n"/>
      <c r="E146" s="6" t="n"/>
      <c r="F146" s="6" t="n"/>
      <c r="G146" s="6" t="n"/>
      <c r="H146" s="6" t="n"/>
      <c r="I146" s="6" t="n"/>
      <c r="J146" s="6" t="n"/>
      <c r="K146" s="6" t="n"/>
      <c r="L146" s="6" t="n"/>
    </row>
    <row r="147">
      <c r="A147" s="6" t="n"/>
      <c r="B147" s="6" t="n"/>
      <c r="C147" s="6" t="n"/>
      <c r="D147" s="6" t="n"/>
      <c r="E147" s="6" t="n"/>
      <c r="F147" s="6" t="n"/>
      <c r="G147" s="6" t="n"/>
      <c r="H147" s="6" t="n"/>
      <c r="I147" s="6" t="n"/>
      <c r="J147" s="6" t="n"/>
      <c r="K147" s="6" t="n"/>
      <c r="L147" s="6" t="n"/>
    </row>
    <row r="148">
      <c r="A148" s="6" t="n"/>
      <c r="B148" s="6" t="n"/>
      <c r="C148" s="6" t="n"/>
      <c r="D148" s="6" t="n"/>
      <c r="E148" s="6" t="n"/>
      <c r="F148" s="6" t="n"/>
      <c r="G148" s="6" t="n"/>
      <c r="H148" s="6" t="n"/>
      <c r="I148" s="6" t="n"/>
      <c r="J148" s="6" t="n"/>
      <c r="K148" s="6" t="n"/>
      <c r="L148" s="6" t="n"/>
    </row>
    <row r="149">
      <c r="A149" s="6" t="n"/>
      <c r="B149" s="6" t="n"/>
      <c r="C149" s="6" t="n"/>
      <c r="D149" s="6" t="n"/>
      <c r="E149" s="6" t="n"/>
      <c r="F149" s="6" t="n"/>
      <c r="G149" s="6" t="n"/>
      <c r="H149" s="6" t="n"/>
      <c r="I149" s="6" t="n"/>
      <c r="J149" s="6" t="n"/>
      <c r="K149" s="6" t="n"/>
      <c r="L149" s="6" t="n"/>
    </row>
    <row r="150">
      <c r="A150" s="6" t="n"/>
      <c r="B150" s="6" t="n"/>
      <c r="C150" s="6" t="n"/>
      <c r="D150" s="6" t="n"/>
      <c r="E150" s="6" t="n"/>
      <c r="F150" s="6" t="n"/>
      <c r="G150" s="6" t="n"/>
      <c r="H150" s="6" t="n"/>
      <c r="I150" s="6" t="n"/>
      <c r="J150" s="6" t="n"/>
      <c r="K150" s="6" t="n"/>
      <c r="L150" s="6" t="n"/>
    </row>
    <row r="151">
      <c r="A151" s="6" t="n"/>
      <c r="B151" s="6" t="n"/>
      <c r="C151" s="6" t="n"/>
      <c r="D151" s="6" t="n"/>
      <c r="E151" s="6" t="n"/>
      <c r="F151" s="6" t="n"/>
      <c r="G151" s="6" t="n"/>
      <c r="H151" s="6" t="n"/>
      <c r="I151" s="6" t="n"/>
      <c r="J151" s="6" t="n"/>
      <c r="K151" s="6" t="n"/>
      <c r="L151" s="6" t="n"/>
    </row>
    <row r="152">
      <c r="A152" s="6" t="n"/>
      <c r="B152" s="6" t="n"/>
      <c r="C152" s="6" t="n"/>
      <c r="D152" s="6" t="n"/>
      <c r="E152" s="6" t="n"/>
      <c r="F152" s="6" t="n"/>
      <c r="G152" s="6" t="n"/>
      <c r="H152" s="6" t="n"/>
      <c r="I152" s="6" t="n"/>
      <c r="J152" s="6" t="n"/>
      <c r="K152" s="6" t="n"/>
      <c r="L152" s="6" t="n"/>
    </row>
    <row r="153">
      <c r="A153" s="6" t="n"/>
      <c r="B153" s="6" t="n"/>
      <c r="C153" s="6" t="n"/>
      <c r="D153" s="6" t="n"/>
      <c r="E153" s="6" t="n"/>
      <c r="F153" s="6" t="n"/>
      <c r="G153" s="6" t="n"/>
      <c r="H153" s="6" t="n"/>
      <c r="I153" s="6" t="n"/>
      <c r="J153" s="6" t="n"/>
      <c r="K153" s="6" t="n"/>
      <c r="L153" s="6" t="n"/>
    </row>
    <row r="154">
      <c r="A154" s="6" t="n"/>
      <c r="B154" s="6" t="n"/>
      <c r="C154" s="6" t="n"/>
      <c r="D154" s="6" t="n"/>
      <c r="E154" s="6" t="n"/>
      <c r="F154" s="6" t="n"/>
      <c r="G154" s="6" t="n"/>
      <c r="H154" s="6" t="n"/>
      <c r="I154" s="6" t="n"/>
      <c r="J154" s="6" t="n"/>
      <c r="K154" s="6" t="n"/>
      <c r="L154" s="6" t="n"/>
    </row>
    <row r="155">
      <c r="A155" s="6" t="n"/>
      <c r="B155" s="6" t="n"/>
      <c r="C155" s="6" t="n"/>
      <c r="D155" s="6" t="n"/>
      <c r="E155" s="6" t="n"/>
      <c r="F155" s="6" t="n"/>
      <c r="G155" s="6" t="n"/>
      <c r="H155" s="6" t="n"/>
      <c r="I155" s="6" t="n"/>
      <c r="J155" s="6" t="n"/>
      <c r="K155" s="6" t="n"/>
      <c r="L155" s="6" t="n"/>
    </row>
    <row r="156">
      <c r="A156" s="6" t="n"/>
      <c r="B156" s="6" t="n"/>
      <c r="C156" s="6" t="n"/>
      <c r="D156" s="6" t="n"/>
      <c r="E156" s="6" t="n"/>
      <c r="F156" s="6" t="n"/>
      <c r="G156" s="6" t="n"/>
      <c r="H156" s="6" t="n"/>
      <c r="I156" s="6" t="n"/>
      <c r="J156" s="6" t="n"/>
      <c r="K156" s="6" t="n"/>
      <c r="L156" s="6" t="n"/>
    </row>
    <row r="157">
      <c r="A157" s="6" t="n"/>
      <c r="B157" s="6" t="n"/>
      <c r="C157" s="6" t="n"/>
      <c r="D157" s="6" t="n"/>
      <c r="E157" s="6" t="n"/>
      <c r="F157" s="6" t="n"/>
      <c r="G157" s="6" t="n"/>
      <c r="H157" s="6" t="n"/>
      <c r="I157" s="6" t="n"/>
      <c r="J157" s="6" t="n"/>
      <c r="K157" s="6" t="n"/>
      <c r="L157" s="6" t="n"/>
    </row>
    <row r="158">
      <c r="A158" s="6" t="n"/>
      <c r="B158" s="6" t="n"/>
      <c r="C158" s="6" t="n"/>
      <c r="D158" s="6" t="n"/>
      <c r="E158" s="6" t="n"/>
      <c r="F158" s="6" t="n"/>
      <c r="G158" s="6" t="n"/>
      <c r="H158" s="6" t="n"/>
      <c r="I158" s="6" t="n"/>
      <c r="J158" s="6" t="n"/>
      <c r="K158" s="6" t="n"/>
      <c r="L158" s="6" t="n"/>
    </row>
    <row r="159">
      <c r="A159" s="6" t="n"/>
      <c r="B159" s="6" t="n"/>
      <c r="C159" s="6" t="n"/>
      <c r="D159" s="6" t="n"/>
      <c r="E159" s="6" t="n"/>
      <c r="F159" s="6" t="n"/>
      <c r="G159" s="6" t="n"/>
      <c r="H159" s="6" t="n"/>
      <c r="I159" s="6" t="n"/>
      <c r="J159" s="6" t="n"/>
      <c r="K159" s="6" t="n"/>
      <c r="L159" s="6" t="n"/>
    </row>
    <row r="160">
      <c r="A160" s="6" t="n"/>
      <c r="B160" s="6" t="n"/>
      <c r="C160" s="6" t="n"/>
      <c r="D160" s="6" t="n"/>
      <c r="E160" s="6" t="n"/>
      <c r="F160" s="6" t="n"/>
      <c r="G160" s="6" t="n"/>
      <c r="H160" s="6" t="n"/>
      <c r="I160" s="6" t="n"/>
      <c r="J160" s="6" t="n"/>
      <c r="K160" s="6" t="n"/>
      <c r="L160" s="6" t="n"/>
    </row>
    <row r="161">
      <c r="A161" s="6" t="n"/>
      <c r="B161" s="6" t="n"/>
      <c r="C161" s="6" t="n"/>
      <c r="D161" s="6" t="n"/>
      <c r="E161" s="6" t="n"/>
      <c r="F161" s="6" t="n"/>
      <c r="G161" s="6" t="n"/>
      <c r="H161" s="6" t="n"/>
      <c r="I161" s="6" t="n"/>
      <c r="J161" s="6" t="n"/>
      <c r="K161" s="6" t="n"/>
      <c r="L161" s="6" t="n"/>
    </row>
    <row r="162">
      <c r="A162" s="6" t="n"/>
      <c r="B162" s="6" t="n"/>
      <c r="C162" s="6" t="n"/>
      <c r="D162" s="6" t="n"/>
      <c r="E162" s="6" t="n"/>
      <c r="F162" s="6" t="n"/>
      <c r="G162" s="6" t="n"/>
      <c r="H162" s="6" t="n"/>
      <c r="I162" s="6" t="n"/>
      <c r="J162" s="6" t="n"/>
      <c r="K162" s="6" t="n"/>
      <c r="L162" s="6" t="n"/>
    </row>
    <row r="163">
      <c r="A163" s="6" t="n"/>
      <c r="B163" s="6" t="n"/>
      <c r="C163" s="6" t="n"/>
      <c r="D163" s="6" t="n"/>
      <c r="E163" s="6" t="n"/>
      <c r="F163" s="6" t="n"/>
      <c r="G163" s="6" t="n"/>
      <c r="H163" s="6" t="n"/>
      <c r="I163" s="6" t="n"/>
      <c r="J163" s="6" t="n"/>
      <c r="K163" s="6" t="n"/>
      <c r="L163" s="6" t="n"/>
    </row>
    <row r="164">
      <c r="A164" s="6" t="n"/>
      <c r="B164" s="6" t="n"/>
      <c r="C164" s="6" t="n"/>
      <c r="D164" s="6" t="n"/>
      <c r="E164" s="6" t="n"/>
      <c r="F164" s="6" t="n"/>
      <c r="G164" s="6" t="n"/>
      <c r="H164" s="6" t="n"/>
      <c r="I164" s="6" t="n"/>
      <c r="J164" s="6" t="n"/>
      <c r="K164" s="6" t="n"/>
      <c r="L164" s="6" t="n"/>
    </row>
    <row r="165">
      <c r="A165" s="6" t="n"/>
      <c r="B165" s="6" t="n"/>
      <c r="C165" s="6" t="n"/>
      <c r="D165" s="6" t="n"/>
      <c r="E165" s="6" t="n"/>
      <c r="F165" s="6" t="n"/>
      <c r="G165" s="6" t="n"/>
      <c r="H165" s="6" t="n"/>
      <c r="I165" s="6" t="n"/>
      <c r="J165" s="6" t="n"/>
      <c r="K165" s="6" t="n"/>
      <c r="L165" s="6" t="n"/>
    </row>
    <row r="166">
      <c r="A166" s="6" t="n"/>
      <c r="B166" s="6" t="n"/>
      <c r="C166" s="6" t="n"/>
      <c r="D166" s="6" t="n"/>
      <c r="E166" s="6" t="n"/>
      <c r="F166" s="6" t="n"/>
      <c r="G166" s="6" t="n"/>
      <c r="H166" s="6" t="n"/>
      <c r="I166" s="6" t="n"/>
      <c r="J166" s="6" t="n"/>
      <c r="K166" s="6" t="n"/>
      <c r="L166" s="6" t="n"/>
    </row>
    <row r="167">
      <c r="A167" s="6" t="n"/>
      <c r="B167" s="6" t="n"/>
      <c r="C167" s="6" t="n"/>
      <c r="D167" s="6" t="n"/>
      <c r="E167" s="6" t="n"/>
      <c r="F167" s="6" t="n"/>
      <c r="G167" s="6" t="n"/>
      <c r="H167" s="6" t="n"/>
      <c r="I167" s="6" t="n"/>
      <c r="J167" s="6" t="n"/>
      <c r="K167" s="6" t="n"/>
      <c r="L167" s="6" t="n"/>
    </row>
    <row r="168">
      <c r="A168" s="6" t="n"/>
      <c r="B168" s="6" t="n"/>
      <c r="C168" s="6" t="n"/>
      <c r="D168" s="6" t="n"/>
      <c r="E168" s="6" t="n"/>
      <c r="F168" s="6" t="n"/>
      <c r="G168" s="6" t="n"/>
      <c r="H168" s="6" t="n"/>
      <c r="I168" s="6" t="n"/>
      <c r="J168" s="6" t="n"/>
      <c r="K168" s="6" t="n"/>
      <c r="L168" s="6" t="n"/>
    </row>
    <row r="169">
      <c r="A169" s="6" t="n"/>
      <c r="B169" s="6" t="n"/>
      <c r="C169" s="6" t="n"/>
      <c r="D169" s="6" t="n"/>
      <c r="E169" s="6" t="n"/>
      <c r="F169" s="6" t="n"/>
      <c r="G169" s="6" t="n"/>
      <c r="H169" s="6" t="n"/>
      <c r="I169" s="6" t="n"/>
      <c r="J169" s="6" t="n"/>
      <c r="K169" s="6" t="n"/>
      <c r="L169" s="6" t="n"/>
    </row>
    <row r="170">
      <c r="A170" s="6" t="n"/>
      <c r="B170" s="6" t="n"/>
      <c r="C170" s="6" t="n"/>
      <c r="D170" s="6" t="n"/>
      <c r="E170" s="6" t="n"/>
      <c r="F170" s="6" t="n"/>
      <c r="G170" s="6" t="n"/>
      <c r="H170" s="6" t="n"/>
      <c r="I170" s="6" t="n"/>
      <c r="J170" s="6" t="n"/>
      <c r="K170" s="6" t="n"/>
      <c r="L170" s="6" t="n"/>
    </row>
    <row r="171">
      <c r="A171" s="6" t="n"/>
      <c r="B171" s="6" t="n"/>
      <c r="C171" s="6" t="n"/>
      <c r="D171" s="6" t="n"/>
      <c r="E171" s="6" t="n"/>
      <c r="F171" s="6" t="n"/>
      <c r="G171" s="6" t="n"/>
      <c r="H171" s="6" t="n"/>
      <c r="I171" s="6" t="n"/>
      <c r="J171" s="6" t="n"/>
      <c r="K171" s="6" t="n"/>
      <c r="L171" s="6" t="n"/>
    </row>
    <row r="172">
      <c r="A172" s="6" t="n"/>
      <c r="B172" s="6" t="n"/>
      <c r="C172" s="6" t="n"/>
      <c r="D172" s="6" t="n"/>
      <c r="E172" s="6" t="n"/>
      <c r="F172" s="6" t="n"/>
      <c r="G172" s="6" t="n"/>
      <c r="H172" s="6" t="n"/>
      <c r="I172" s="6" t="n"/>
      <c r="J172" s="6" t="n"/>
      <c r="K172" s="6" t="n"/>
      <c r="L172" s="6" t="n"/>
    </row>
    <row r="173">
      <c r="A173" s="6" t="n"/>
      <c r="B173" s="6" t="n"/>
      <c r="C173" s="6" t="n"/>
      <c r="D173" s="6" t="n"/>
      <c r="E173" s="6" t="n"/>
      <c r="F173" s="6" t="n"/>
      <c r="G173" s="6" t="n"/>
      <c r="H173" s="6" t="n"/>
      <c r="I173" s="6" t="n"/>
      <c r="J173" s="6" t="n"/>
      <c r="K173" s="6" t="n"/>
      <c r="L173" s="6" t="n"/>
    </row>
    <row r="174">
      <c r="A174" s="6" t="n"/>
      <c r="B174" s="6" t="n"/>
      <c r="C174" s="6" t="n"/>
      <c r="D174" s="6" t="n"/>
      <c r="E174" s="6" t="n"/>
      <c r="F174" s="6" t="n"/>
      <c r="G174" s="6" t="n"/>
      <c r="H174" s="6" t="n"/>
      <c r="I174" s="6" t="n"/>
      <c r="J174" s="6" t="n"/>
      <c r="K174" s="6" t="n"/>
      <c r="L174" s="6" t="n"/>
    </row>
    <row r="175">
      <c r="A175" s="6" t="n"/>
      <c r="B175" s="6" t="n"/>
      <c r="C175" s="6" t="n"/>
      <c r="D175" s="6" t="n"/>
      <c r="E175" s="6" t="n"/>
      <c r="F175" s="6" t="n"/>
      <c r="G175" s="6" t="n"/>
      <c r="H175" s="6" t="n"/>
      <c r="I175" s="6" t="n"/>
      <c r="J175" s="6" t="n"/>
      <c r="K175" s="6" t="n"/>
      <c r="L175" s="6" t="n"/>
    </row>
    <row r="176">
      <c r="A176" s="6" t="n"/>
      <c r="B176" s="6" t="n"/>
      <c r="C176" s="6" t="n"/>
      <c r="D176" s="6" t="n"/>
      <c r="E176" s="6" t="n"/>
      <c r="F176" s="6" t="n"/>
      <c r="G176" s="6" t="n"/>
      <c r="H176" s="6" t="n"/>
      <c r="I176" s="6" t="n"/>
      <c r="J176" s="6" t="n"/>
      <c r="K176" s="6" t="n"/>
      <c r="L176" s="6" t="n"/>
    </row>
    <row r="177">
      <c r="A177" s="6" t="n"/>
      <c r="B177" s="6" t="n"/>
      <c r="C177" s="6" t="n"/>
      <c r="D177" s="6" t="n"/>
      <c r="E177" s="6" t="n"/>
      <c r="F177" s="6" t="n"/>
      <c r="G177" s="6" t="n"/>
      <c r="H177" s="6" t="n"/>
      <c r="I177" s="6" t="n"/>
      <c r="J177" s="6" t="n"/>
      <c r="K177" s="6" t="n"/>
      <c r="L177" s="6" t="n"/>
    </row>
    <row r="178">
      <c r="A178" s="6" t="n"/>
      <c r="B178" s="6" t="n"/>
      <c r="C178" s="6" t="n"/>
      <c r="D178" s="6" t="n"/>
      <c r="E178" s="6" t="n"/>
      <c r="F178" s="6" t="n"/>
      <c r="G178" s="6" t="n"/>
      <c r="H178" s="6" t="n"/>
      <c r="I178" s="6" t="n"/>
      <c r="J178" s="6" t="n"/>
      <c r="K178" s="6" t="n"/>
      <c r="L178" s="6" t="n"/>
    </row>
    <row r="179">
      <c r="A179" s="6" t="n"/>
      <c r="B179" s="6" t="n"/>
      <c r="C179" s="6" t="n"/>
      <c r="D179" s="6" t="n"/>
      <c r="E179" s="6" t="n"/>
      <c r="F179" s="6" t="n"/>
      <c r="G179" s="6" t="n"/>
      <c r="H179" s="6" t="n"/>
      <c r="I179" s="6" t="n"/>
      <c r="J179" s="6" t="n"/>
      <c r="K179" s="6" t="n"/>
      <c r="L179" s="6" t="n"/>
    </row>
    <row r="180">
      <c r="A180" s="6" t="n"/>
      <c r="B180" s="6" t="n"/>
      <c r="C180" s="6" t="n"/>
      <c r="D180" s="6" t="n"/>
      <c r="E180" s="6" t="n"/>
      <c r="F180" s="6" t="n"/>
      <c r="G180" s="6" t="n"/>
      <c r="H180" s="6" t="n"/>
      <c r="I180" s="6" t="n"/>
      <c r="J180" s="6" t="n"/>
      <c r="K180" s="6" t="n"/>
      <c r="L180" s="6" t="n"/>
    </row>
    <row r="181">
      <c r="A181" s="6" t="n"/>
      <c r="B181" s="6" t="n"/>
      <c r="C181" s="6" t="n"/>
      <c r="D181" s="6" t="n"/>
      <c r="E181" s="6" t="n"/>
      <c r="F181" s="6" t="n"/>
      <c r="G181" s="6" t="n"/>
      <c r="H181" s="6" t="n"/>
      <c r="I181" s="6" t="n"/>
      <c r="J181" s="6" t="n"/>
      <c r="K181" s="6" t="n"/>
      <c r="L181" s="6" t="n"/>
    </row>
    <row r="182">
      <c r="A182" s="6" t="n"/>
      <c r="B182" s="6" t="n"/>
      <c r="C182" s="6" t="n"/>
      <c r="D182" s="6" t="n"/>
      <c r="E182" s="6" t="n"/>
      <c r="F182" s="6" t="n"/>
      <c r="G182" s="6" t="n"/>
      <c r="H182" s="6" t="n"/>
      <c r="I182" s="6" t="n"/>
      <c r="J182" s="6" t="n"/>
      <c r="K182" s="6" t="n"/>
      <c r="L182" s="6" t="n"/>
    </row>
    <row r="183">
      <c r="A183" s="6" t="n"/>
      <c r="B183" s="6" t="n"/>
      <c r="C183" s="6" t="n"/>
      <c r="D183" s="6" t="n"/>
      <c r="E183" s="6" t="n"/>
      <c r="F183" s="6" t="n"/>
      <c r="G183" s="6" t="n"/>
      <c r="H183" s="6" t="n"/>
      <c r="I183" s="6" t="n"/>
      <c r="J183" s="6" t="n"/>
      <c r="K183" s="6" t="n"/>
      <c r="L183" s="6" t="n"/>
    </row>
    <row r="184">
      <c r="A184" s="6" t="n"/>
      <c r="B184" s="6" t="n"/>
      <c r="C184" s="6" t="n"/>
      <c r="D184" s="6" t="n"/>
      <c r="E184" s="6" t="n"/>
      <c r="F184" s="6" t="n"/>
      <c r="G184" s="6" t="n"/>
      <c r="H184" s="6" t="n"/>
      <c r="I184" s="6" t="n"/>
      <c r="J184" s="6" t="n"/>
      <c r="K184" s="6" t="n"/>
      <c r="L184" s="6" t="n"/>
    </row>
    <row r="185">
      <c r="A185" s="6" t="n"/>
      <c r="B185" s="6" t="n"/>
      <c r="C185" s="6" t="n"/>
      <c r="D185" s="6" t="n"/>
      <c r="E185" s="6" t="n"/>
      <c r="F185" s="6" t="n"/>
      <c r="G185" s="6" t="n"/>
      <c r="H185" s="6" t="n"/>
      <c r="I185" s="6" t="n"/>
      <c r="J185" s="6" t="n"/>
      <c r="K185" s="6" t="n"/>
      <c r="L185" s="6" t="n"/>
    </row>
    <row r="186">
      <c r="A186" s="6" t="n"/>
      <c r="B186" s="6" t="n"/>
      <c r="C186" s="6" t="n"/>
      <c r="D186" s="6" t="n"/>
      <c r="E186" s="6" t="n"/>
      <c r="F186" s="6" t="n"/>
      <c r="G186" s="6" t="n"/>
      <c r="H186" s="6" t="n"/>
      <c r="I186" s="6" t="n"/>
      <c r="J186" s="6" t="n"/>
      <c r="K186" s="6" t="n"/>
      <c r="L186" s="6" t="n"/>
    </row>
    <row r="187">
      <c r="A187" s="6" t="n"/>
      <c r="B187" s="6" t="n"/>
      <c r="C187" s="6" t="n"/>
      <c r="D187" s="6" t="n"/>
      <c r="E187" s="6" t="n"/>
      <c r="F187" s="6" t="n"/>
      <c r="G187" s="6" t="n"/>
      <c r="H187" s="6" t="n"/>
      <c r="I187" s="6" t="n"/>
      <c r="J187" s="6" t="n"/>
      <c r="K187" s="6" t="n"/>
      <c r="L187" s="6" t="n"/>
    </row>
    <row r="188">
      <c r="A188" s="6" t="n"/>
      <c r="B188" s="6" t="n"/>
      <c r="C188" s="6" t="n"/>
      <c r="D188" s="6" t="n"/>
      <c r="E188" s="6" t="n"/>
      <c r="F188" s="6" t="n"/>
      <c r="G188" s="6" t="n"/>
      <c r="H188" s="6" t="n"/>
      <c r="I188" s="6" t="n"/>
      <c r="J188" s="6" t="n"/>
      <c r="K188" s="6" t="n"/>
      <c r="L188" s="6" t="n"/>
    </row>
    <row r="189">
      <c r="A189" s="6" t="n"/>
      <c r="B189" s="6" t="n"/>
      <c r="C189" s="6" t="n"/>
      <c r="D189" s="6" t="n"/>
      <c r="E189" s="6" t="n"/>
      <c r="F189" s="6" t="n"/>
      <c r="G189" s="6" t="n"/>
      <c r="H189" s="6" t="n"/>
      <c r="I189" s="6" t="n"/>
      <c r="J189" s="6" t="n"/>
      <c r="K189" s="6" t="n"/>
      <c r="L189" s="6" t="n"/>
    </row>
    <row r="190">
      <c r="A190" s="6" t="n"/>
      <c r="B190" s="6" t="n"/>
      <c r="C190" s="6" t="n"/>
      <c r="D190" s="6" t="n"/>
      <c r="E190" s="6" t="n"/>
      <c r="F190" s="6" t="n"/>
      <c r="G190" s="6" t="n"/>
      <c r="H190" s="6" t="n"/>
      <c r="I190" s="6" t="n"/>
      <c r="J190" s="6" t="n"/>
      <c r="K190" s="6" t="n"/>
      <c r="L190" s="6" t="n"/>
    </row>
    <row r="191">
      <c r="A191" s="6" t="n"/>
      <c r="B191" s="6" t="n"/>
      <c r="C191" s="6" t="n"/>
      <c r="D191" s="6" t="n"/>
      <c r="E191" s="6" t="n"/>
      <c r="F191" s="6" t="n"/>
      <c r="G191" s="6" t="n"/>
      <c r="H191" s="6" t="n"/>
      <c r="I191" s="6" t="n"/>
      <c r="J191" s="6" t="n"/>
      <c r="K191" s="6" t="n"/>
      <c r="L191" s="6" t="n"/>
    </row>
    <row r="192">
      <c r="A192" s="6" t="n"/>
      <c r="B192" s="6" t="n"/>
      <c r="C192" s="6" t="n"/>
      <c r="D192" s="6" t="n"/>
      <c r="E192" s="6" t="n"/>
      <c r="F192" s="6" t="n"/>
      <c r="G192" s="6" t="n"/>
      <c r="H192" s="6" t="n"/>
      <c r="I192" s="6" t="n"/>
      <c r="J192" s="6" t="n"/>
      <c r="K192" s="6" t="n"/>
      <c r="L192" s="6" t="n"/>
    </row>
    <row r="193">
      <c r="A193" s="6" t="n"/>
      <c r="B193" s="6" t="n"/>
      <c r="C193" s="6" t="n"/>
      <c r="D193" s="6" t="n"/>
      <c r="E193" s="6" t="n"/>
      <c r="F193" s="6" t="n"/>
      <c r="G193" s="6" t="n"/>
      <c r="H193" s="6" t="n"/>
      <c r="I193" s="6" t="n"/>
      <c r="J193" s="6" t="n"/>
      <c r="K193" s="6" t="n"/>
      <c r="L193" s="6" t="n"/>
    </row>
    <row r="194">
      <c r="A194" s="6" t="n"/>
      <c r="B194" s="6" t="n"/>
      <c r="C194" s="6" t="n"/>
      <c r="D194" s="6" t="n"/>
      <c r="E194" s="6" t="n"/>
      <c r="F194" s="6" t="n"/>
      <c r="G194" s="6" t="n"/>
      <c r="H194" s="6" t="n"/>
      <c r="I194" s="6" t="n"/>
      <c r="J194" s="6" t="n"/>
      <c r="K194" s="6" t="n"/>
      <c r="L194" s="6" t="n"/>
    </row>
    <row r="195">
      <c r="A195" s="6" t="n"/>
      <c r="B195" s="6" t="n"/>
      <c r="C195" s="6" t="n"/>
      <c r="D195" s="6" t="n"/>
      <c r="E195" s="6" t="n"/>
      <c r="F195" s="6" t="n"/>
      <c r="G195" s="6" t="n"/>
      <c r="H195" s="6" t="n"/>
      <c r="I195" s="6" t="n"/>
      <c r="J195" s="6" t="n"/>
      <c r="K195" s="6" t="n"/>
      <c r="L195" s="6" t="n"/>
    </row>
    <row r="196">
      <c r="A196" s="6" t="n"/>
      <c r="B196" s="6" t="n"/>
      <c r="C196" s="6" t="n"/>
      <c r="D196" s="6" t="n"/>
      <c r="E196" s="6" t="n"/>
      <c r="F196" s="6" t="n"/>
      <c r="G196" s="6" t="n"/>
      <c r="H196" s="6" t="n"/>
      <c r="I196" s="6" t="n"/>
      <c r="J196" s="6" t="n"/>
      <c r="K196" s="6" t="n"/>
      <c r="L196" s="6" t="n"/>
    </row>
    <row r="197">
      <c r="A197" s="6" t="n"/>
      <c r="B197" s="6" t="n"/>
      <c r="C197" s="6" t="n"/>
      <c r="D197" s="6" t="n"/>
      <c r="E197" s="6" t="n"/>
      <c r="F197" s="6" t="n"/>
      <c r="G197" s="6" t="n"/>
      <c r="H197" s="6" t="n"/>
      <c r="I197" s="6" t="n"/>
      <c r="J197" s="6" t="n"/>
      <c r="K197" s="6" t="n"/>
      <c r="L197" s="6" t="n"/>
    </row>
    <row r="198">
      <c r="A198" s="6" t="n"/>
      <c r="B198" s="6" t="n"/>
      <c r="C198" s="6" t="n"/>
      <c r="D198" s="6" t="n"/>
      <c r="E198" s="6" t="n"/>
      <c r="F198" s="6" t="n"/>
      <c r="G198" s="6" t="n"/>
      <c r="H198" s="6" t="n"/>
      <c r="I198" s="6" t="n"/>
      <c r="J198" s="6" t="n"/>
      <c r="K198" s="6" t="n"/>
      <c r="L198" s="6" t="n"/>
    </row>
    <row r="199">
      <c r="A199" s="6" t="n"/>
      <c r="B199" s="6" t="n"/>
      <c r="C199" s="6" t="n"/>
      <c r="D199" s="6" t="n"/>
      <c r="E199" s="6" t="n"/>
      <c r="F199" s="6" t="n"/>
      <c r="G199" s="6" t="n"/>
      <c r="H199" s="6" t="n"/>
      <c r="I199" s="6" t="n"/>
      <c r="J199" s="6" t="n"/>
      <c r="K199" s="6" t="n"/>
      <c r="L199" s="6" t="n"/>
    </row>
    <row r="200">
      <c r="A200" s="6" t="n"/>
      <c r="B200" s="6" t="n"/>
      <c r="C200" s="6" t="n"/>
      <c r="D200" s="6" t="n"/>
      <c r="E200" s="6" t="n"/>
      <c r="F200" s="6" t="n"/>
      <c r="G200" s="6" t="n"/>
      <c r="H200" s="6" t="n"/>
      <c r="I200" s="6" t="n"/>
      <c r="J200" s="6" t="n"/>
      <c r="K200" s="6" t="n"/>
      <c r="L200" s="6" t="n"/>
    </row>
    <row r="201">
      <c r="A201" s="6" t="n"/>
      <c r="B201" s="6" t="n"/>
      <c r="C201" s="6" t="n"/>
      <c r="D201" s="6" t="n"/>
      <c r="E201" s="6" t="n"/>
      <c r="F201" s="6" t="n"/>
      <c r="G201" s="6" t="n"/>
      <c r="H201" s="6" t="n"/>
      <c r="I201" s="6" t="n"/>
      <c r="J201" s="6" t="n"/>
      <c r="K201" s="6" t="n"/>
      <c r="L201" s="6" t="n"/>
    </row>
    <row r="202">
      <c r="A202" s="6" t="n"/>
      <c r="B202" s="6" t="n"/>
      <c r="C202" s="6" t="n"/>
      <c r="D202" s="6" t="n"/>
      <c r="E202" s="6" t="n"/>
      <c r="F202" s="6" t="n"/>
      <c r="G202" s="6" t="n"/>
      <c r="H202" s="6" t="n"/>
      <c r="I202" s="6" t="n"/>
      <c r="J202" s="6" t="n"/>
      <c r="K202" s="6" t="n"/>
      <c r="L202" s="6" t="n"/>
    </row>
    <row r="203">
      <c r="A203" s="6" t="n"/>
      <c r="B203" s="6" t="n"/>
      <c r="C203" s="6" t="n"/>
      <c r="D203" s="6" t="n"/>
      <c r="E203" s="6" t="n"/>
      <c r="F203" s="6" t="n"/>
      <c r="G203" s="6" t="n"/>
      <c r="H203" s="6" t="n"/>
      <c r="I203" s="6" t="n"/>
      <c r="J203" s="6" t="n"/>
      <c r="K203" s="6" t="n"/>
      <c r="L203" s="6" t="n"/>
    </row>
    <row r="204">
      <c r="A204" s="6" t="n"/>
      <c r="B204" s="6" t="n"/>
      <c r="C204" s="6" t="n"/>
      <c r="D204" s="6" t="n"/>
      <c r="E204" s="6" t="n"/>
      <c r="F204" s="6" t="n"/>
      <c r="G204" s="6" t="n"/>
      <c r="H204" s="6" t="n"/>
      <c r="I204" s="6" t="n"/>
      <c r="J204" s="6" t="n"/>
      <c r="K204" s="6" t="n"/>
      <c r="L204" s="6" t="n"/>
    </row>
  </sheetData>
  <mergeCells count="2">
    <mergeCell ref="A2:L2"/>
    <mergeCell ref="A1:L1"/>
  </mergeCells>
  <dataValidations count="2">
    <dataValidation sqref="H4:H204" showDropDown="0" showInputMessage="0" showErrorMessage="0" allowBlank="1" type="list">
      <formula1>"Critical,High,Medium,Low"</formula1>
    </dataValidation>
    <dataValidation sqref="L4:L204" showDropDown="0" showInputMessage="0" showErrorMessage="0" allowBlank="1" type="list">
      <formula1>"Open,Fixed,Retest,Closed,Rejected"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2026-08-12T11:58:23Z</dcterms:created>
  <dcterms:modified xsi:type="dcterms:W3CDTF">2026-08-12T11:58:23Z</dcterms:modified>
</cp:coreProperties>
</file>