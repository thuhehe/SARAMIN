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view" sheetId="1" state="visible" r:id="rId1"/>
    <sheet name="Company fields" sheetId="2" state="visible" r:id="rId2"/>
    <sheet name="Job fields" sheetId="3" state="visible" r:id="rId3"/>
  </sheets>
  <definedNames>
    <definedName name="_xlnm._FilterDatabase" localSheetId="1" hidden="1">'Company fields'!$A$4:$K$42</definedName>
    <definedName name="_xlnm._FilterDatabase" localSheetId="2" hidden="1">'Job fields'!$A$4:$K$46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2937"/>
      <sz val="15"/>
    </font>
    <font>
      <name val="Arial"/>
      <i val="1"/>
      <color rgb="006B7280"/>
      <sz val="9.5"/>
    </font>
    <font>
      <name val="Arial"/>
      <b val="1"/>
      <color rgb="00FFFFFF"/>
      <sz val="9.5"/>
    </font>
    <font>
      <name val="Arial"/>
      <b val="1"/>
      <color rgb="001D4ED8"/>
      <sz val="9"/>
    </font>
    <font>
      <name val="Arial"/>
      <color rgb="001F2937"/>
      <sz val="9.5"/>
    </font>
    <font>
      <name val="Arial"/>
      <b val="1"/>
      <i val="1"/>
      <color rgb="001F2937"/>
      <sz val="9.5"/>
    </font>
    <font>
      <name val="Arial"/>
      <b val="1"/>
      <color rgb="001F2937"/>
      <sz val="9.5"/>
    </font>
    <font>
      <name val="Arial"/>
      <b val="1"/>
      <color rgb="00B45309"/>
      <sz val="9.5"/>
    </font>
    <font>
      <name val="Arial"/>
      <b val="1"/>
      <color rgb="001F2937"/>
      <sz val="17"/>
    </font>
    <font>
      <name val="Arial"/>
      <i val="1"/>
      <color rgb="006B7280"/>
      <sz val="10"/>
    </font>
    <font>
      <name val="Arial"/>
      <b val="1"/>
      <color rgb="001D4ED8"/>
      <sz val="11"/>
    </font>
    <font>
      <name val="Arial"/>
      <color rgb="009CA3AF"/>
      <sz val="10"/>
    </font>
    <font>
      <name val="Arial"/>
      <color rgb="001F2937"/>
      <sz val="10"/>
    </font>
    <font>
      <name val="Arial"/>
      <b val="1"/>
      <color rgb="001F2937"/>
      <sz val="10"/>
    </font>
    <font>
      <name val="Arial"/>
      <i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8EDF7"/>
      </patternFill>
    </fill>
    <fill>
      <patternFill patternType="solid">
        <fgColor rgb="00F3F4F6"/>
      </patternFill>
    </fill>
    <fill>
      <patternFill patternType="solid">
        <fgColor rgb="00FFF9C4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4D9E2"/>
      </left>
      <right style="thin">
        <color rgb="00D4D9E2"/>
      </right>
      <top style="thin">
        <color rgb="00D4D9E2"/>
      </top>
      <bottom style="thin">
        <color rgb="00D4D9E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0" fillId="5" borderId="1" pivotButton="0" quotePrefix="0" xfId="0"/>
    <xf numFmtId="0" fontId="13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/>
    </xf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5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/>
    </xf>
    <xf numFmtId="0" fontId="7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46" customWidth="1" min="6" max="6"/>
  </cols>
  <sheetData>
    <row r="2">
      <c r="B2" s="1" t="inlineStr">
        <is>
          <t>Company &amp; Job fields — for client review</t>
        </is>
      </c>
    </row>
    <row r="3">
      <c r="B3" s="2" t="inlineStr">
        <is>
          <t>Saramin Vietnam · admin (HQ) screens · field list taken from the working mockup</t>
        </is>
      </c>
    </row>
    <row r="5">
      <c r="B5" s="3" t="inlineStr">
        <is>
          <t>What to do</t>
        </is>
      </c>
    </row>
    <row r="6" ht="15" customHeight="1">
      <c r="B6" s="4" t="inlineStr">
        <is>
          <t>•</t>
        </is>
      </c>
      <c r="C6" s="5" t="inlineStr">
        <is>
          <t>Two tabs to go through: Company fields and Job fields.</t>
        </is>
      </c>
    </row>
    <row r="7" ht="15" customHeight="1">
      <c r="B7" s="4" t="inlineStr">
        <is>
          <t>•</t>
        </is>
      </c>
      <c r="C7" s="5" t="inlineStr">
        <is>
          <t>For each row, fill the yellow KEEP? column — Keep · Keep – change it · Remove · Decide later.</t>
        </is>
      </c>
    </row>
    <row r="8" ht="15" customHeight="1">
      <c r="B8" s="4" t="inlineStr">
        <is>
          <t>•</t>
        </is>
      </c>
      <c r="C8" s="5" t="inlineStr">
        <is>
          <t>Put anything to discuss in Client comment. Rows marked "OPEN QUESTION" in Rule / note are the ones we need a decision on.</t>
        </is>
      </c>
    </row>
    <row r="9" ht="15" customHeight="1">
      <c r="B9" s="4" t="inlineStr">
        <is>
          <t>•</t>
        </is>
      </c>
      <c r="C9" s="5" t="inlineStr">
        <is>
          <t>Grey rows are system-generated or derived: nothing to decide, they are listed so the picture is complete.</t>
        </is>
      </c>
    </row>
    <row r="10" ht="15" customHeight="1">
      <c r="B10" s="4" t="inlineStr">
        <is>
          <t>•</t>
        </is>
      </c>
      <c r="C10" s="5" t="inlineStr">
        <is>
          <t>Pink rows are the legally sensitive demographic fields on the job ad — please decide these explicitly.</t>
        </is>
      </c>
    </row>
    <row r="12">
      <c r="B12" s="3" t="inlineStr">
        <is>
          <t>Colour key</t>
        </is>
      </c>
    </row>
    <row r="13">
      <c r="B13" s="6" t="inlineStr"/>
      <c r="C13" s="7" t="inlineStr">
        <is>
          <t>You fill this in</t>
        </is>
      </c>
    </row>
    <row r="14">
      <c r="B14" s="8" t="inlineStr"/>
      <c r="C14" s="7" t="inlineStr">
        <is>
          <t>System-generated / derived — nothing to decide</t>
        </is>
      </c>
    </row>
    <row r="15">
      <c r="B15" s="9" t="inlineStr"/>
      <c r="C15" s="7" t="inlineStr">
        <is>
          <t>Legally sensitive — needs an explicit decision</t>
        </is>
      </c>
    </row>
    <row r="17">
      <c r="B17" s="3" t="inlineStr">
        <is>
          <t>Where the review stands</t>
        </is>
      </c>
    </row>
    <row r="18">
      <c r="B18" s="10" t="n"/>
      <c r="C18" s="10" t="inlineStr">
        <is>
          <t>Company</t>
        </is>
      </c>
      <c r="D18" s="10" t="inlineStr">
        <is>
          <t>Job</t>
        </is>
      </c>
      <c r="E18" s="10" t="inlineStr">
        <is>
          <t>Total</t>
        </is>
      </c>
      <c r="F18" s="10" t="n"/>
    </row>
    <row r="19">
      <c r="B19" s="11" t="inlineStr">
        <is>
          <t>Fields in total</t>
        </is>
      </c>
      <c r="C19" s="12">
        <f>COUNT('Company fields'!$A$5:$A$42)</f>
        <v/>
      </c>
      <c r="D19" s="12">
        <f>COUNT('Job fields'!$A$5:$A$46)</f>
        <v/>
      </c>
      <c r="E19" s="13">
        <f>C19+D19</f>
        <v/>
      </c>
    </row>
    <row r="20">
      <c r="B20" s="11" t="inlineStr">
        <is>
          <t>Required today</t>
        </is>
      </c>
      <c r="C20" s="12">
        <f>COUNTIF('Company fields'!$F$5:$F$42,"Yes*")</f>
        <v/>
      </c>
      <c r="D20" s="12">
        <f>COUNTIF('Job fields'!$F$5:$F$46,"Yes*")</f>
        <v/>
      </c>
      <c r="E20" s="13">
        <f>C20+D20</f>
        <v/>
      </c>
    </row>
    <row r="21">
      <c r="B21" s="11" t="inlineStr">
        <is>
          <t>Marked Keep</t>
        </is>
      </c>
      <c r="C21" s="12">
        <f>COUNTIF('Company fields'!$J$5:$J$42,"Keep")</f>
        <v/>
      </c>
      <c r="D21" s="12">
        <f>COUNTIF('Job fields'!$J$5:$J$46,"Keep")</f>
        <v/>
      </c>
      <c r="E21" s="13">
        <f>C21+D21</f>
        <v/>
      </c>
    </row>
    <row r="22">
      <c r="B22" s="11" t="inlineStr">
        <is>
          <t>Marked Keep – change it</t>
        </is>
      </c>
      <c r="C22" s="12">
        <f>COUNTIF('Company fields'!$J$5:$J$42,"Keep – change it")</f>
        <v/>
      </c>
      <c r="D22" s="12">
        <f>COUNTIF('Job fields'!$J$5:$J$46,"Keep – change it")</f>
        <v/>
      </c>
      <c r="E22" s="13">
        <f>C22+D22</f>
        <v/>
      </c>
    </row>
    <row r="23">
      <c r="B23" s="11" t="inlineStr">
        <is>
          <t>Marked Remove</t>
        </is>
      </c>
      <c r="C23" s="12">
        <f>COUNTIF('Company fields'!$J$5:$J$42,"Remove")</f>
        <v/>
      </c>
      <c r="D23" s="12">
        <f>COUNTIF('Job fields'!$J$5:$J$46,"Remove")</f>
        <v/>
      </c>
      <c r="E23" s="13">
        <f>C23+D23</f>
        <v/>
      </c>
    </row>
    <row r="24">
      <c r="B24" s="11" t="inlineStr">
        <is>
          <t>Not answered yet</t>
        </is>
      </c>
      <c r="C24" s="12">
        <f>C19-C21-C22-C23</f>
        <v/>
      </c>
      <c r="D24" s="12">
        <f>D19-D21-D22-D23</f>
        <v/>
      </c>
      <c r="E24" s="13">
        <f>C24+D24</f>
        <v/>
      </c>
    </row>
    <row r="25">
      <c r="B25" s="11" t="inlineStr">
        <is>
          <t>Open questions to answer</t>
        </is>
      </c>
      <c r="C25" s="12">
        <f>COUNTIF('Company fields'!$I$5:$I$42,"*OPEN QUESTION*")+COUNTIF('Company fields'!$I$5:$I$42,"*CONFIRM*")</f>
        <v/>
      </c>
      <c r="D25" s="12">
        <f>COUNTIF('Job fields'!$I$5:$I$46,"*OPEN QUESTION*")+COUNTIF('Job fields'!$I$5:$I$46,"*CONFIRM*")</f>
        <v/>
      </c>
      <c r="E25" s="13">
        <f>C25+D25</f>
        <v/>
      </c>
    </row>
    <row r="27" ht="14" customHeight="1">
      <c r="B27" s="14" t="inlineStr">
        <is>
          <t>Counts are live formulas — they update as the KEEP? column is filled in. "Required today" counts what the current mockup enforces, not what it should enforce; the rows flagged OPEN QUESTION are exactly where those two differ.</t>
        </is>
      </c>
    </row>
    <row r="28" ht="14" customHeight="1"/>
  </sheetData>
  <mergeCells count="9">
    <mergeCell ref="C13:F13"/>
    <mergeCell ref="C9:F9"/>
    <mergeCell ref="C8:F8"/>
    <mergeCell ref="C6:F6"/>
    <mergeCell ref="C7:F7"/>
    <mergeCell ref="C15:F15"/>
    <mergeCell ref="C10:F10"/>
    <mergeCell ref="C14:F14"/>
    <mergeCell ref="B27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9" customWidth="1" min="2" max="2"/>
    <col width="30" customWidth="1" min="3" max="3"/>
    <col width="24" customWidth="1" min="4" max="4"/>
    <col width="20" customWidth="1" min="5" max="5"/>
    <col width="11" customWidth="1" min="6" max="6"/>
    <col width="22" customWidth="1" min="7" max="7"/>
    <col width="26" customWidth="1" min="8" max="8"/>
    <col width="62" customWidth="1" min="9" max="9"/>
    <col width="12" customWidth="1" min="10" max="10"/>
    <col width="34" customWidth="1" min="11" max="11"/>
  </cols>
  <sheetData>
    <row r="1" ht="22" customHeight="1">
      <c r="A1" s="15" t="inlineStr">
        <is>
          <t>Company fields</t>
        </is>
      </c>
    </row>
    <row r="2" ht="16" customHeight="1">
      <c r="A2" s="16" t="inlineStr">
        <is>
          <t>Source: the New-company form and the Company detail “Basic info — from CRM” card in the admin mockup.</t>
        </is>
      </c>
    </row>
    <row r="4" ht="30" customHeight="1">
      <c r="A4" s="17" t="inlineStr">
        <is>
          <t>#</t>
        </is>
      </c>
      <c r="B4" s="17" t="inlineStr">
        <is>
          <t>Section</t>
        </is>
      </c>
      <c r="C4" s="17" t="inlineStr">
        <is>
          <t>Field (label in the screen)</t>
        </is>
      </c>
      <c r="D4" s="17" t="inlineStr">
        <is>
          <t>Vietnamese / alt label</t>
        </is>
      </c>
      <c r="E4" s="17" t="inlineStr">
        <is>
          <t>Input type</t>
        </is>
      </c>
      <c r="F4" s="17" t="inlineStr">
        <is>
          <t>Required?</t>
        </is>
      </c>
      <c r="G4" s="17" t="inlineStr">
        <is>
          <t>Values come from</t>
        </is>
      </c>
      <c r="H4" s="17" t="inlineStr">
        <is>
          <t>Where it appears</t>
        </is>
      </c>
      <c r="I4" s="17" t="inlineStr">
        <is>
          <t>Rule / note</t>
        </is>
      </c>
      <c r="J4" s="17" t="inlineStr">
        <is>
          <t>KEEP?</t>
        </is>
      </c>
      <c r="K4" s="17" t="inlineStr">
        <is>
          <t>Client comment</t>
        </is>
      </c>
    </row>
    <row r="5" ht="17" customHeight="1">
      <c r="A5" s="18" t="inlineStr">
        <is>
          <t>IDENTITY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</row>
    <row r="6">
      <c r="A6" s="19" t="n">
        <v>1</v>
      </c>
      <c r="B6" s="20" t="inlineStr">
        <is>
          <t>Identity</t>
        </is>
      </c>
      <c r="C6" s="21" t="inlineStr">
        <is>
          <t>Company ID</t>
        </is>
      </c>
      <c r="D6" s="22" t="inlineStr">
        <is>
          <t>Mã công ty</t>
        </is>
      </c>
      <c r="E6" s="22" t="inlineStr">
        <is>
          <t>Auto text — CO-XXXXXXX</t>
        </is>
      </c>
      <c r="F6" s="19" t="inlineStr">
        <is>
          <t>System</t>
        </is>
      </c>
      <c r="G6" s="22" t="inlineStr">
        <is>
          <t>System</t>
        </is>
      </c>
      <c r="H6" s="22" t="inlineStr">
        <is>
          <t>Create (on save) · Detail · List search</t>
        </is>
      </c>
      <c r="I6" s="22" t="inlineStr">
        <is>
          <t>Assigned on save, never typed, never changes for the life of the company. Capacity ~1.07 billion. Not guessable.</t>
        </is>
      </c>
      <c r="J6" s="23" t="n"/>
      <c r="K6" s="24" t="n"/>
    </row>
    <row r="7">
      <c r="A7" s="25" t="n">
        <v>2</v>
      </c>
      <c r="B7" s="26" t="inlineStr">
        <is>
          <t>Identity</t>
        </is>
      </c>
      <c r="C7" s="27" t="inlineStr">
        <is>
          <t>Legal name</t>
        </is>
      </c>
      <c r="D7" s="28" t="inlineStr">
        <is>
          <t>Tên pháp lý</t>
        </is>
      </c>
      <c r="E7" s="28" t="inlineStr">
        <is>
          <t>Text</t>
        </is>
      </c>
      <c r="F7" s="29" t="inlineStr">
        <is>
          <t>Yes</t>
        </is>
      </c>
      <c r="G7" s="28" t="inlineStr">
        <is>
          <t>User input</t>
        </is>
      </c>
      <c r="H7" s="28" t="inlineStr">
        <is>
          <t>Create · Detail · List</t>
        </is>
      </c>
      <c r="I7" s="28" t="inlineStr">
        <is>
          <t>As written on the tax registration. The only hard-required company field today.</t>
        </is>
      </c>
      <c r="J7" s="23" t="n"/>
      <c r="K7" s="24" t="n"/>
    </row>
    <row r="8">
      <c r="A8" s="25" t="n">
        <v>3</v>
      </c>
      <c r="B8" s="26" t="inlineStr">
        <is>
          <t>Identity</t>
        </is>
      </c>
      <c r="C8" s="27" t="inlineStr">
        <is>
          <t>Short name</t>
        </is>
      </c>
      <c r="D8" s="28" t="inlineStr">
        <is>
          <t>Tên viết tắt / thương hiệu</t>
        </is>
      </c>
      <c r="E8" s="28" t="inlineStr">
        <is>
          <t>Text</t>
        </is>
      </c>
      <c r="F8" s="25" t="inlineStr">
        <is>
          <t>No</t>
        </is>
      </c>
      <c r="G8" s="28" t="inlineStr">
        <is>
          <t>User input</t>
        </is>
      </c>
      <c r="H8" s="28" t="inlineStr">
        <is>
          <t>Create · Detail · List · Pipeline</t>
        </is>
      </c>
      <c r="I8" s="28" t="inlineStr">
        <is>
          <t>Display name everywhere. When empty the system falls back to the legal name. Two companies may share one.</t>
        </is>
      </c>
      <c r="J8" s="23" t="n"/>
      <c r="K8" s="24" t="n"/>
    </row>
    <row r="9">
      <c r="A9" s="25" t="n">
        <v>4</v>
      </c>
      <c r="B9" s="26" t="inlineStr">
        <is>
          <t>Identity</t>
        </is>
      </c>
      <c r="C9" s="27" t="inlineStr">
        <is>
          <t>Tax code (MST)</t>
        </is>
      </c>
      <c r="D9" s="28" t="inlineStr">
        <is>
          <t>Mã số thuế</t>
        </is>
      </c>
      <c r="E9" s="28" t="inlineStr">
        <is>
          <t>Text</t>
        </is>
      </c>
      <c r="F9" s="25" t="inlineStr">
        <is>
          <t>No</t>
        </is>
      </c>
      <c r="G9" s="28" t="inlineStr">
        <is>
          <t>User input</t>
        </is>
      </c>
      <c r="H9" s="28" t="inlineStr">
        <is>
          <t>Create · Detail</t>
        </is>
      </c>
      <c r="I9" s="28" t="inlineStr">
        <is>
          <t>OPEN QUESTION for the client: not required in the mockup, but duplicate detection and every invoice depend on it. Rule built: only an identical FULL MST blocks; a shared 10-digit root is treated as a branch and offered as a link.</t>
        </is>
      </c>
      <c r="J9" s="23" t="n"/>
      <c r="K9" s="24" t="n"/>
    </row>
    <row r="10">
      <c r="A10" s="25" t="n">
        <v>5</v>
      </c>
      <c r="B10" s="26" t="inlineStr">
        <is>
          <t>Identity</t>
        </is>
      </c>
      <c r="C10" s="27" t="inlineStr">
        <is>
          <t>Công ty mẹ</t>
        </is>
      </c>
      <c r="D10" s="28" t="inlineStr">
        <is>
          <t>Công ty mẹ (tuỳ chọn)</t>
        </is>
      </c>
      <c r="E10" s="28" t="inlineStr">
        <is>
          <t>Searchable select — company</t>
        </is>
      </c>
      <c r="F10" s="25" t="inlineStr">
        <is>
          <t>No</t>
        </is>
      </c>
      <c r="G10" s="28" t="inlineStr">
        <is>
          <t>Existing companies</t>
        </is>
      </c>
      <c r="H10" s="28" t="inlineStr">
        <is>
          <t>Create · Detail</t>
        </is>
      </c>
      <c r="I10" s="28" t="inlineStr">
        <is>
          <t>The DIRECT parent only, any depth. Empty = standalone or group root. Nothing is inherited down the tree (own MST, quota, billing, sales owner). Cycles are rejected.</t>
        </is>
      </c>
      <c r="J10" s="23" t="n"/>
      <c r="K10" s="24" t="n"/>
    </row>
    <row r="11" ht="17" customHeight="1">
      <c r="A11" s="18" t="inlineStr">
        <is>
          <t>CLASSIFICATION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</row>
    <row r="12">
      <c r="A12" s="25" t="n">
        <v>6</v>
      </c>
      <c r="B12" s="26" t="inlineStr">
        <is>
          <t>Classification</t>
        </is>
      </c>
      <c r="C12" s="27" t="inlineStr">
        <is>
          <t>Industry</t>
        </is>
      </c>
      <c r="D12" s="28" t="inlineStr">
        <is>
          <t>Ngành nghề</t>
        </is>
      </c>
      <c r="E12" s="28" t="inlineStr">
        <is>
          <t>Select</t>
        </is>
      </c>
      <c r="F12" s="25" t="inlineStr">
        <is>
          <t>No</t>
        </is>
      </c>
      <c r="G12" s="28" t="inlineStr">
        <is>
          <t>Master data → Industry</t>
        </is>
      </c>
      <c r="H12" s="28" t="inlineStr">
        <is>
          <t>Create · Detail · List filter</t>
        </is>
      </c>
      <c r="I12" s="28" t="inlineStr">
        <is>
          <t>Its own field — not joined to company size.</t>
        </is>
      </c>
      <c r="J12" s="23" t="n"/>
      <c r="K12" s="24" t="n"/>
    </row>
    <row r="13">
      <c r="A13" s="25" t="n">
        <v>7</v>
      </c>
      <c r="B13" s="26" t="inlineStr">
        <is>
          <t>Classification</t>
        </is>
      </c>
      <c r="C13" s="27" t="inlineStr">
        <is>
          <t>Company size</t>
        </is>
      </c>
      <c r="D13" s="28" t="inlineStr">
        <is>
          <t>Quy mô nhân sự</t>
        </is>
      </c>
      <c r="E13" s="28" t="inlineStr">
        <is>
          <t>Select — band</t>
        </is>
      </c>
      <c r="F13" s="25" t="inlineStr">
        <is>
          <t>No</t>
        </is>
      </c>
      <c r="G13" s="28" t="inlineStr">
        <is>
          <t>Master data → Size bands</t>
        </is>
      </c>
      <c r="H13" s="28" t="inlineStr">
        <is>
          <t>Create · Detail</t>
        </is>
      </c>
      <c r="I13" s="28" t="inlineStr">
        <is>
          <t>Bands: 1–9 / 10–49 / 50–200 / 200–500 / 500–1000 / 1000–5000 / 5000+.</t>
        </is>
      </c>
      <c r="J13" s="23" t="n"/>
      <c r="K13" s="24" t="n"/>
    </row>
    <row r="14">
      <c r="A14" s="25" t="n">
        <v>8</v>
      </c>
      <c r="B14" s="26" t="inlineStr">
        <is>
          <t>Classification</t>
        </is>
      </c>
      <c r="C14" s="27" t="inlineStr">
        <is>
          <t>Company tags</t>
        </is>
      </c>
      <c r="D14" s="28" t="inlineStr">
        <is>
          <t>Nhãn</t>
        </is>
      </c>
      <c r="E14" s="28" t="inlineStr">
        <is>
          <t>Multi-select chips</t>
        </is>
      </c>
      <c r="F14" s="25" t="inlineStr">
        <is>
          <t>No</t>
        </is>
      </c>
      <c r="G14" s="28" t="inlineStr">
        <is>
          <t>Master data → Tags</t>
        </is>
      </c>
      <c r="H14" s="28" t="inlineStr">
        <is>
          <t>Create · Detail</t>
        </is>
      </c>
      <c r="I14" s="28" t="inlineStr">
        <is>
          <t>Editorial labels, many per company (e.g. "Korean company", "Key account").</t>
        </is>
      </c>
      <c r="J14" s="23" t="n"/>
      <c r="K14" s="24" t="n"/>
    </row>
    <row r="15" ht="17" customHeight="1">
      <c r="A15" s="18" t="inlineStr">
        <is>
          <t>LOCATION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</row>
    <row r="16">
      <c r="A16" s="25" t="n">
        <v>9</v>
      </c>
      <c r="B16" s="26" t="inlineStr">
        <is>
          <t>Location</t>
        </is>
      </c>
      <c r="C16" s="27" t="inlineStr">
        <is>
          <t>Quốc tịch / Country</t>
        </is>
      </c>
      <c r="D16" s="28" t="inlineStr">
        <is>
          <t>Quốc tịch công ty</t>
        </is>
      </c>
      <c r="E16" s="28" t="inlineStr">
        <is>
          <t>Searchable select</t>
        </is>
      </c>
      <c r="F16" s="25" t="inlineStr">
        <is>
          <t>No</t>
        </is>
      </c>
      <c r="G16" s="28" t="inlineStr">
        <is>
          <t>Master data → Country</t>
        </is>
      </c>
      <c r="H16" s="28" t="inlineStr">
        <is>
          <t>Create · Detail</t>
        </is>
      </c>
      <c r="I16" s="28" t="inlineStr">
        <is>
          <t>Where the company is REGISTERED. This is what decides whether the Vietnamese province picker appears. OPEN QUESTION: should it be mandatory, since it drives the field below?</t>
        </is>
      </c>
      <c r="J16" s="23" t="n"/>
      <c r="K16" s="24" t="n"/>
    </row>
    <row r="17">
      <c r="A17" s="25" t="n">
        <v>10</v>
      </c>
      <c r="B17" s="26" t="inlineStr">
        <is>
          <t>Location</t>
        </is>
      </c>
      <c r="C17" s="27" t="inlineStr">
        <is>
          <t>Tỉnh / Thành phố · City</t>
        </is>
      </c>
      <c r="D17" s="28" t="inlineStr">
        <is>
          <t>Tỉnh / Thành phố</t>
        </is>
      </c>
      <c r="E17" s="28" t="inlineStr">
        <is>
          <t>Select — province</t>
        </is>
      </c>
      <c r="F17" s="25" t="inlineStr">
        <is>
          <t>Conditional</t>
        </is>
      </c>
      <c r="G17" s="28" t="inlineStr">
        <is>
          <t>Master data → Locations</t>
        </is>
      </c>
      <c r="H17" s="28" t="inlineStr">
        <is>
          <t>Create · Detail · List filter</t>
        </is>
      </c>
      <c r="I17" s="28" t="inlineStr">
        <is>
          <t>Shown ONLY when country = Việt Nam. For a foreign company the city goes in Address instead.</t>
        </is>
      </c>
      <c r="J17" s="23" t="n"/>
      <c r="K17" s="24" t="n"/>
    </row>
    <row r="18">
      <c r="A18" s="25" t="n">
        <v>11</v>
      </c>
      <c r="B18" s="26" t="inlineStr">
        <is>
          <t>Location</t>
        </is>
      </c>
      <c r="C18" s="27" t="inlineStr">
        <is>
          <t>Address</t>
        </is>
      </c>
      <c r="D18" s="28" t="inlineStr">
        <is>
          <t>Địa chỉ</t>
        </is>
      </c>
      <c r="E18" s="28" t="inlineStr">
        <is>
          <t>Text</t>
        </is>
      </c>
      <c r="F18" s="29" t="inlineStr">
        <is>
          <t>Yes (by rule)</t>
        </is>
      </c>
      <c r="G18" s="28" t="inlineStr">
        <is>
          <t>User input</t>
        </is>
      </c>
      <c r="H18" s="28" t="inlineStr">
        <is>
          <t>Create · Detail · Documents</t>
        </is>
      </c>
      <c r="I18" s="28" t="inlineStr">
        <is>
          <t>Full head-office address, asked for every country — it prints on quotations, POs and invoices. The rule says required; the mockup does not yet star it.</t>
        </is>
      </c>
      <c r="J18" s="23" t="n"/>
      <c r="K18" s="24" t="n"/>
    </row>
    <row r="19">
      <c r="A19" s="25" t="n">
        <v>12</v>
      </c>
      <c r="B19" s="26" t="inlineStr">
        <is>
          <t>Location</t>
        </is>
      </c>
      <c r="C19" s="27" t="inlineStr">
        <is>
          <t>Website</t>
        </is>
      </c>
      <c r="D19" s="28" t="inlineStr">
        <is>
          <t>Website</t>
        </is>
      </c>
      <c r="E19" s="28" t="inlineStr">
        <is>
          <t>Text</t>
        </is>
      </c>
      <c r="F19" s="25" t="inlineStr">
        <is>
          <t>No</t>
        </is>
      </c>
      <c r="G19" s="28" t="inlineStr">
        <is>
          <t>User input</t>
        </is>
      </c>
      <c r="H19" s="28" t="inlineStr">
        <is>
          <t>Create · Detail · Company page</t>
        </is>
      </c>
      <c r="I19" s="28" t="inlineStr">
        <is>
          <t>Sits after Address: the two are read together as "where they are".</t>
        </is>
      </c>
      <c r="J19" s="23" t="n"/>
      <c r="K19" s="24" t="n"/>
    </row>
    <row r="20" ht="17" customHeight="1">
      <c r="A20" s="18" t="inlineStr">
        <is>
          <t>PRIMARY CONTACT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</row>
    <row r="21">
      <c r="A21" s="25" t="n">
        <v>13</v>
      </c>
      <c r="B21" s="26" t="inlineStr">
        <is>
          <t>Primary contact</t>
        </is>
      </c>
      <c r="C21" s="27" t="inlineStr">
        <is>
          <t>Contact name</t>
        </is>
      </c>
      <c r="D21" s="28" t="inlineStr">
        <is>
          <t>Họ và tên người liên hệ</t>
        </is>
      </c>
      <c r="E21" s="28" t="inlineStr">
        <is>
          <t>Text</t>
        </is>
      </c>
      <c r="F21" s="29" t="inlineStr">
        <is>
          <t>Yes</t>
        </is>
      </c>
      <c r="G21" s="28" t="inlineStr">
        <is>
          <t>User input</t>
        </is>
      </c>
      <c r="H21" s="28" t="inlineStr">
        <is>
          <t>Create → becomes the first row on the Contacts tab</t>
        </is>
      </c>
      <c r="I21" s="28" t="inlineStr">
        <is>
          <t>The create form asks for ONE contact to get started. After creation, contacts are managed on the Contacts tab, which holds any number of them — so these four fields are no longer repeated on Basic info.</t>
        </is>
      </c>
      <c r="J21" s="23" t="n"/>
      <c r="K21" s="24" t="n"/>
    </row>
    <row r="22">
      <c r="A22" s="25" t="n">
        <v>14</v>
      </c>
      <c r="B22" s="26" t="inlineStr">
        <is>
          <t>Primary contact</t>
        </is>
      </c>
      <c r="C22" s="27" t="inlineStr">
        <is>
          <t>Title</t>
        </is>
      </c>
      <c r="D22" s="28" t="inlineStr">
        <is>
          <t>Chức danh</t>
        </is>
      </c>
      <c r="E22" s="28" t="inlineStr">
        <is>
          <t>Select or free text</t>
        </is>
      </c>
      <c r="F22" s="25" t="inlineStr">
        <is>
          <t>No</t>
        </is>
      </c>
      <c r="G22" s="28" t="inlineStr">
        <is>
          <t>Master data → Titles (typeable)</t>
        </is>
      </c>
      <c r="H22" s="28" t="inlineStr">
        <is>
          <t>Create · Contacts tab</t>
        </is>
      </c>
      <c r="I22" s="28" t="n"/>
      <c r="J22" s="23" t="n"/>
      <c r="K22" s="24" t="n"/>
    </row>
    <row r="23">
      <c r="A23" s="25" t="n">
        <v>15</v>
      </c>
      <c r="B23" s="26" t="inlineStr">
        <is>
          <t>Primary contact</t>
        </is>
      </c>
      <c r="C23" s="27" t="inlineStr">
        <is>
          <t>Phone</t>
        </is>
      </c>
      <c r="D23" s="28" t="inlineStr">
        <is>
          <t>Điện thoại</t>
        </is>
      </c>
      <c r="E23" s="28" t="inlineStr">
        <is>
          <t>Text</t>
        </is>
      </c>
      <c r="F23" s="25" t="inlineStr">
        <is>
          <t>No</t>
        </is>
      </c>
      <c r="G23" s="28" t="inlineStr">
        <is>
          <t>User input</t>
        </is>
      </c>
      <c r="H23" s="28" t="inlineStr">
        <is>
          <t>Create · Contacts tab</t>
        </is>
      </c>
      <c r="I23" s="28" t="inlineStr">
        <is>
          <t>OPEN QUESTION: should at least one of phone / email be mandatory? A contact with neither cannot be contacted.</t>
        </is>
      </c>
      <c r="J23" s="23" t="n"/>
      <c r="K23" s="24" t="n"/>
    </row>
    <row r="24">
      <c r="A24" s="25" t="n">
        <v>16</v>
      </c>
      <c r="B24" s="26" t="inlineStr">
        <is>
          <t>Primary contact</t>
        </is>
      </c>
      <c r="C24" s="27" t="inlineStr">
        <is>
          <t>Email</t>
        </is>
      </c>
      <c r="D24" s="28" t="inlineStr">
        <is>
          <t>Email</t>
        </is>
      </c>
      <c r="E24" s="28" t="inlineStr">
        <is>
          <t>Text</t>
        </is>
      </c>
      <c r="F24" s="25" t="inlineStr">
        <is>
          <t>No</t>
        </is>
      </c>
      <c r="G24" s="28" t="inlineStr">
        <is>
          <t>User input</t>
        </is>
      </c>
      <c r="H24" s="28" t="inlineStr">
        <is>
          <t>Create · Contacts tab</t>
        </is>
      </c>
      <c r="I24" s="28" t="inlineStr">
        <is>
          <t>Same question as Phone.</t>
        </is>
      </c>
      <c r="J24" s="23" t="n"/>
      <c r="K24" s="24" t="n"/>
    </row>
    <row r="25" ht="17" customHeight="1">
      <c r="A25" s="18" t="inlineStr">
        <is>
          <t>SALES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</row>
    <row r="26">
      <c r="A26" s="25" t="n">
        <v>17</v>
      </c>
      <c r="B26" s="26" t="inlineStr">
        <is>
          <t>Sales</t>
        </is>
      </c>
      <c r="C26" s="27" t="inlineStr">
        <is>
          <t>Lead source</t>
        </is>
      </c>
      <c r="D26" s="28" t="inlineStr">
        <is>
          <t>Nguồn khách hàng</t>
        </is>
      </c>
      <c r="E26" s="28" t="inlineStr">
        <is>
          <t>Select or free text</t>
        </is>
      </c>
      <c r="F26" s="25" t="inlineStr">
        <is>
          <t>No</t>
        </is>
      </c>
      <c r="G26" s="28" t="inlineStr">
        <is>
          <t>Master data → Lead source</t>
        </is>
      </c>
      <c r="H26" s="28" t="inlineStr">
        <is>
          <t>Create · Detail · Reports</t>
        </is>
      </c>
      <c r="I26" s="28" t="inlineStr">
        <is>
          <t>Website sign-up / Inbound call / Referral / Event – job fair / Outbound / Partner.</t>
        </is>
      </c>
      <c r="J26" s="23" t="n"/>
      <c r="K26" s="24" t="n"/>
    </row>
    <row r="27">
      <c r="A27" s="25" t="n">
        <v>18</v>
      </c>
      <c r="B27" s="26" t="inlineStr">
        <is>
          <t>Sales</t>
        </is>
      </c>
      <c r="C27" s="27" t="inlineStr">
        <is>
          <t>Sales owner</t>
        </is>
      </c>
      <c r="D27" s="28" t="inlineStr">
        <is>
          <t>Sales phụ trách</t>
        </is>
      </c>
      <c r="E27" s="28" t="inlineStr">
        <is>
          <t>Select — user</t>
        </is>
      </c>
      <c r="F27" s="25" t="inlineStr">
        <is>
          <t>No</t>
        </is>
      </c>
      <c r="G27" s="28" t="inlineStr">
        <is>
          <t>Admin users</t>
        </is>
      </c>
      <c r="H27" s="28" t="inlineStr">
        <is>
          <t>Create · Detail · List · Pipeline · KPI</t>
        </is>
      </c>
      <c r="I27" s="28" t="inlineStr">
        <is>
          <t>Drives "my customers", the Sales vs Sales-lead views and every KPI number. OPEN QUESTION: should it default to the creator and be mandatory?</t>
        </is>
      </c>
      <c r="J27" s="23" t="n"/>
      <c r="K27" s="24" t="n"/>
    </row>
    <row r="28">
      <c r="A28" s="25" t="n">
        <v>19</v>
      </c>
      <c r="B28" s="26" t="inlineStr">
        <is>
          <t>Sales</t>
        </is>
      </c>
      <c r="C28" s="27" t="inlineStr">
        <is>
          <t>Products interested</t>
        </is>
      </c>
      <c r="D28" s="28" t="inlineStr">
        <is>
          <t>Sản phẩm quan tâm</t>
        </is>
      </c>
      <c r="E28" s="28" t="inlineStr">
        <is>
          <t>Checkboxes</t>
        </is>
      </c>
      <c r="F28" s="25" t="inlineStr">
        <is>
          <t>No</t>
        </is>
      </c>
      <c r="G28" s="28" t="inlineStr">
        <is>
          <t>Products module</t>
        </is>
      </c>
      <c r="H28" s="28" t="inlineStr">
        <is>
          <t>Create · Detail</t>
        </is>
      </c>
      <c r="I28" s="28" t="inlineStr">
        <is>
          <t>Pre-sale INTENT (Job Posting / Resume Search). What they actually BOUGHT is a different fact, on the Products &amp; billing tab.</t>
        </is>
      </c>
      <c r="J28" s="23" t="n"/>
      <c r="K28" s="24" t="n"/>
    </row>
    <row r="29">
      <c r="A29" s="25" t="n">
        <v>20</v>
      </c>
      <c r="B29" s="26" t="inlineStr">
        <is>
          <t>Sales</t>
        </is>
      </c>
      <c r="C29" s="27" t="inlineStr">
        <is>
          <t>Estimated deal value</t>
        </is>
      </c>
      <c r="D29" s="28" t="inlineStr">
        <is>
          <t>Giá trị dự kiến (₫)</t>
        </is>
      </c>
      <c r="E29" s="28" t="inlineStr">
        <is>
          <t>Number — ₫</t>
        </is>
      </c>
      <c r="F29" s="25" t="inlineStr">
        <is>
          <t>No</t>
        </is>
      </c>
      <c r="G29" s="28" t="inlineStr">
        <is>
          <t>User input</t>
        </is>
      </c>
      <c r="H29" s="28" t="inlineStr">
        <is>
          <t>Create · Detail · Pipeline card</t>
        </is>
      </c>
      <c r="I29" s="28" t="inlineStr">
        <is>
          <t>The rep's own estimate, used for the pipeline total until a quotation exists; the quotation total then supersedes it.</t>
        </is>
      </c>
      <c r="J29" s="23" t="n"/>
      <c r="K29" s="24" t="n"/>
    </row>
    <row r="30">
      <c r="A30" s="25" t="n">
        <v>21</v>
      </c>
      <c r="B30" s="26" t="inlineStr">
        <is>
          <t>Sales</t>
        </is>
      </c>
      <c r="C30" s="27" t="inlineStr">
        <is>
          <t>Description</t>
        </is>
      </c>
      <c r="D30" s="28" t="inlineStr">
        <is>
          <t>Ghi chú</t>
        </is>
      </c>
      <c r="E30" s="28" t="inlineStr">
        <is>
          <t>Long text</t>
        </is>
      </c>
      <c r="F30" s="25" t="inlineStr">
        <is>
          <t>No</t>
        </is>
      </c>
      <c r="G30" s="28" t="inlineStr">
        <is>
          <t>User input</t>
        </is>
      </c>
      <c r="H30" s="28" t="inlineStr">
        <is>
          <t>Create · Detail</t>
        </is>
      </c>
      <c r="I30" s="28" t="inlineStr">
        <is>
          <t>How we heard about them, their need, the next step.</t>
        </is>
      </c>
      <c r="J30" s="23" t="n"/>
      <c r="K30" s="24" t="n"/>
    </row>
    <row r="31">
      <c r="A31" s="25" t="n">
        <v>22</v>
      </c>
      <c r="B31" s="26" t="inlineStr">
        <is>
          <t>Sales</t>
        </is>
      </c>
      <c r="C31" s="27" t="inlineStr">
        <is>
          <t>Next step</t>
        </is>
      </c>
      <c r="D31" s="28" t="inlineStr">
        <is>
          <t>Bước tiếp theo</t>
        </is>
      </c>
      <c r="E31" s="28" t="inlineStr">
        <is>
          <t>Text</t>
        </is>
      </c>
      <c r="F31" s="25" t="inlineStr">
        <is>
          <t>No</t>
        </is>
      </c>
      <c r="G31" s="28" t="inlineStr">
        <is>
          <t>User input</t>
        </is>
      </c>
      <c r="H31" s="28" t="inlineStr">
        <is>
          <t>Detail · List</t>
        </is>
      </c>
      <c r="I31" s="28" t="inlineStr">
        <is>
          <t>Entered after creation, not on the create form. What the rep will do next.</t>
        </is>
      </c>
      <c r="J31" s="23" t="n"/>
      <c r="K31" s="24" t="n"/>
    </row>
    <row r="32" ht="17" customHeight="1">
      <c r="A32" s="18" t="inlineStr">
        <is>
          <t>SYSTEM / DERIVED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</row>
    <row r="33">
      <c r="A33" s="19" t="n">
        <v>23</v>
      </c>
      <c r="B33" s="20" t="inlineStr">
        <is>
          <t>System / derived</t>
        </is>
      </c>
      <c r="C33" s="21" t="inlineStr">
        <is>
          <t>Customer status</t>
        </is>
      </c>
      <c r="D33" s="22" t="inlineStr">
        <is>
          <t>Trạng thái khách hàng</t>
        </is>
      </c>
      <c r="E33" s="22" t="inlineStr">
        <is>
          <t>Badge — 3 values</t>
        </is>
      </c>
      <c r="F33" s="19" t="inlineStr">
        <is>
          <t>n/a</t>
        </is>
      </c>
      <c r="G33" s="22" t="inlineStr">
        <is>
          <t>Derived</t>
        </is>
      </c>
      <c r="H33" s="22" t="inlineStr">
        <is>
          <t>Detail · List filter</t>
        </is>
      </c>
      <c r="I33" s="22" t="inlineStr">
        <is>
          <t>New (never bought) / Existing (paid at least once) / Churn (no new order for 12 months). Computed from invoices — never typed.</t>
        </is>
      </c>
      <c r="J33" s="23" t="n"/>
      <c r="K33" s="24" t="n"/>
    </row>
    <row r="34">
      <c r="A34" s="19" t="n">
        <v>24</v>
      </c>
      <c r="B34" s="20" t="inlineStr">
        <is>
          <t>System / derived</t>
        </is>
      </c>
      <c r="C34" s="21" t="inlineStr">
        <is>
          <t>Pipeline stage</t>
        </is>
      </c>
      <c r="D34" s="22" t="inlineStr">
        <is>
          <t>Giai đoạn bán hàng</t>
        </is>
      </c>
      <c r="E34" s="22" t="inlineStr">
        <is>
          <t>Badge — 6 values</t>
        </is>
      </c>
      <c r="F34" s="19" t="inlineStr">
        <is>
          <t>n/a</t>
        </is>
      </c>
      <c r="G34" s="22" t="inlineStr">
        <is>
          <t>Derived from the deal</t>
        </is>
      </c>
      <c r="H34" s="22" t="inlineStr">
        <is>
          <t>Pipeline · Detail</t>
        </is>
      </c>
      <c r="I34" s="22" t="inlineStr">
        <is>
          <t>Proposal / Qualified / Negotiation / PO / Invoice / Lost. Lives on the DEAL, not on the company.</t>
        </is>
      </c>
      <c r="J34" s="23" t="n"/>
      <c r="K34" s="24" t="n"/>
    </row>
    <row r="35">
      <c r="A35" s="19" t="n">
        <v>25</v>
      </c>
      <c r="B35" s="20" t="inlineStr">
        <is>
          <t>System / derived</t>
        </is>
      </c>
      <c r="C35" s="21" t="inlineStr">
        <is>
          <t>Membership tier</t>
        </is>
      </c>
      <c r="D35" s="22" t="inlineStr">
        <is>
          <t>Hạng thành viên</t>
        </is>
      </c>
      <c r="E35" s="22" t="inlineStr">
        <is>
          <t>Badge</t>
        </is>
      </c>
      <c r="F35" s="19" t="inlineStr">
        <is>
          <t>n/a</t>
        </is>
      </c>
      <c r="G35" s="22" t="inlineStr">
        <is>
          <t>Derived from revenue</t>
        </is>
      </c>
      <c r="H35" s="22" t="inlineStr">
        <is>
          <t>Detail · List</t>
        </is>
      </c>
      <c r="I35" s="22" t="inlineStr">
        <is>
          <t>Pure arithmetic on 12-month revenue — no manual override.</t>
        </is>
      </c>
      <c r="J35" s="23" t="n"/>
      <c r="K35" s="24" t="n"/>
    </row>
    <row r="36">
      <c r="A36" s="19" t="n">
        <v>26</v>
      </c>
      <c r="B36" s="20" t="inlineStr">
        <is>
          <t>System / derived</t>
        </is>
      </c>
      <c r="C36" s="21" t="inlineStr">
        <is>
          <t>Idle</t>
        </is>
      </c>
      <c r="D36" s="22" t="inlineStr">
        <is>
          <t>Số ngày không liên hệ</t>
        </is>
      </c>
      <c r="E36" s="22" t="inlineStr">
        <is>
          <t>Number — days</t>
        </is>
      </c>
      <c r="F36" s="19" t="inlineStr">
        <is>
          <t>n/a</t>
        </is>
      </c>
      <c r="G36" s="22" t="inlineStr">
        <is>
          <t>Derived</t>
        </is>
      </c>
      <c r="H36" s="22" t="inlineStr">
        <is>
          <t>Detail · List</t>
        </is>
      </c>
      <c r="I36" s="22" t="inlineStr">
        <is>
          <t>Days since the last SALES contact. Amber/red thresholds depend on the expected contact cadence. Independent of the pipeline stage.</t>
        </is>
      </c>
      <c r="J36" s="23" t="n"/>
      <c r="K36" s="24" t="n"/>
    </row>
    <row r="37">
      <c r="A37" s="19" t="n">
        <v>27</v>
      </c>
      <c r="B37" s="20" t="inlineStr">
        <is>
          <t>System / derived</t>
        </is>
      </c>
      <c r="C37" s="21" t="inlineStr">
        <is>
          <t>Last PO date</t>
        </is>
      </c>
      <c r="D37" s="22" t="inlineStr">
        <is>
          <t>Ngày PO gần nhất</t>
        </is>
      </c>
      <c r="E37" s="22" t="inlineStr">
        <is>
          <t>Date</t>
        </is>
      </c>
      <c r="F37" s="19" t="inlineStr">
        <is>
          <t>n/a</t>
        </is>
      </c>
      <c r="G37" s="22" t="inlineStr">
        <is>
          <t>Derived from documents</t>
        </is>
      </c>
      <c r="H37" s="22" t="inlineStr">
        <is>
          <t>Detail · List</t>
        </is>
      </c>
      <c r="I37" s="22" t="n"/>
      <c r="J37" s="23" t="n"/>
      <c r="K37" s="24" t="n"/>
    </row>
    <row r="38">
      <c r="A38" s="19" t="n">
        <v>28</v>
      </c>
      <c r="B38" s="20" t="inlineStr">
        <is>
          <t>System / derived</t>
        </is>
      </c>
      <c r="C38" s="21" t="inlineStr">
        <is>
          <t>Renewal date</t>
        </is>
      </c>
      <c r="D38" s="22" t="inlineStr">
        <is>
          <t>Ngày gia hạn</t>
        </is>
      </c>
      <c r="E38" s="22" t="inlineStr">
        <is>
          <t>Date</t>
        </is>
      </c>
      <c r="F38" s="19" t="inlineStr">
        <is>
          <t>n/a</t>
        </is>
      </c>
      <c r="G38" s="22" t="inlineStr">
        <is>
          <t>Derived from the package</t>
        </is>
      </c>
      <c r="H38" s="22" t="inlineStr">
        <is>
          <t>Detail · List</t>
        </is>
      </c>
      <c r="I38" s="22" t="n"/>
      <c r="J38" s="23" t="n"/>
      <c r="K38" s="24" t="n"/>
    </row>
    <row r="39">
      <c r="A39" s="19" t="n">
        <v>29</v>
      </c>
      <c r="B39" s="20" t="inlineStr">
        <is>
          <t>System / derived</t>
        </is>
      </c>
      <c r="C39" s="21" t="inlineStr">
        <is>
          <t>Revenue (12 months)</t>
        </is>
      </c>
      <c r="D39" s="22" t="inlineStr">
        <is>
          <t>Doanh thu 12 tháng</t>
        </is>
      </c>
      <c r="E39" s="22" t="inlineStr">
        <is>
          <t>Number — ₫</t>
        </is>
      </c>
      <c r="F39" s="19" t="inlineStr">
        <is>
          <t>n/a</t>
        </is>
      </c>
      <c r="G39" s="22" t="inlineStr">
        <is>
          <t>Derived from invoices</t>
        </is>
      </c>
      <c r="H39" s="22" t="inlineStr">
        <is>
          <t>Detail · List · KPI</t>
        </is>
      </c>
      <c r="I39" s="22" t="n"/>
      <c r="J39" s="23" t="n"/>
      <c r="K39" s="24" t="n"/>
    </row>
    <row r="40">
      <c r="A40" s="19" t="n">
        <v>30</v>
      </c>
      <c r="B40" s="20" t="inlineStr">
        <is>
          <t>System / derived</t>
        </is>
      </c>
      <c r="C40" s="21" t="inlineStr">
        <is>
          <t>Quota remaining</t>
        </is>
      </c>
      <c r="D40" s="22" t="inlineStr">
        <is>
          <t>Quota còn lại</t>
        </is>
      </c>
      <c r="E40" s="22" t="inlineStr">
        <is>
          <t>Number</t>
        </is>
      </c>
      <c r="F40" s="19" t="inlineStr">
        <is>
          <t>n/a</t>
        </is>
      </c>
      <c r="G40" s="22" t="inlineStr">
        <is>
          <t>Derived from purchases</t>
        </is>
      </c>
      <c r="H40" s="22" t="inlineStr">
        <is>
          <t>Detail → Products &amp; billing</t>
        </is>
      </c>
      <c r="I40" s="22" t="inlineStr">
        <is>
          <t>Job postings left and CV unlocks left, per purchased package.</t>
        </is>
      </c>
      <c r="J40" s="23" t="n"/>
      <c r="K40" s="24" t="n"/>
    </row>
    <row r="41">
      <c r="A41" s="19" t="n">
        <v>31</v>
      </c>
      <c r="B41" s="20" t="inlineStr">
        <is>
          <t>System / derived</t>
        </is>
      </c>
      <c r="C41" s="21" t="inlineStr">
        <is>
          <t>Company page exists</t>
        </is>
      </c>
      <c r="D41" s="22" t="inlineStr">
        <is>
          <t>Có trang công ty</t>
        </is>
      </c>
      <c r="E41" s="22" t="inlineStr">
        <is>
          <t>Yes / No</t>
        </is>
      </c>
      <c r="F41" s="19" t="inlineStr">
        <is>
          <t>n/a</t>
        </is>
      </c>
      <c r="G41" s="22" t="inlineStr">
        <is>
          <t>Derived</t>
        </is>
      </c>
      <c r="H41" s="22" t="inlineStr">
        <is>
          <t>Detail → Company page tab</t>
        </is>
      </c>
      <c r="I41" s="22" t="n"/>
      <c r="J41" s="23" t="n"/>
      <c r="K41" s="24" t="n"/>
    </row>
    <row r="42">
      <c r="A42" s="19" t="n">
        <v>32</v>
      </c>
      <c r="B42" s="20" t="inlineStr">
        <is>
          <t>System / derived</t>
        </is>
      </c>
      <c r="C42" s="21" t="inlineStr">
        <is>
          <t>Counts — jobs, applications, resumes</t>
        </is>
      </c>
      <c r="D42" s="22" t="inlineStr">
        <is>
          <t>Số tin / ứng viên / CV</t>
        </is>
      </c>
      <c r="E42" s="22" t="inlineStr">
        <is>
          <t>Number</t>
        </is>
      </c>
      <c r="F42" s="19" t="inlineStr">
        <is>
          <t>n/a</t>
        </is>
      </c>
      <c r="G42" s="22" t="inlineStr">
        <is>
          <t>Derived</t>
        </is>
      </c>
      <c r="H42" s="22" t="inlineStr">
        <is>
          <t>Detail tabs</t>
        </is>
      </c>
      <c r="I42" s="22" t="n"/>
      <c r="J42" s="23" t="n"/>
      <c r="K42" s="24" t="n"/>
    </row>
  </sheetData>
  <autoFilter ref="A4:K42"/>
  <dataValidations count="1">
    <dataValidation sqref="J5:J42" showDropDown="0" showInputMessage="0" showErrorMessage="0" allowBlank="1" error="Pick one of: Keep / Keep – change it / Remove / Decide later" prompt="Keep · Keep – change it · Remove · Decide later" type="list">
      <formula1>"Keep,Keep – change it,Remove,Decide later"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9" customWidth="1" min="2" max="2"/>
    <col width="30" customWidth="1" min="3" max="3"/>
    <col width="24" customWidth="1" min="4" max="4"/>
    <col width="20" customWidth="1" min="5" max="5"/>
    <col width="11" customWidth="1" min="6" max="6"/>
    <col width="22" customWidth="1" min="7" max="7"/>
    <col width="26" customWidth="1" min="8" max="8"/>
    <col width="62" customWidth="1" min="9" max="9"/>
    <col width="12" customWidth="1" min="10" max="10"/>
    <col width="34" customWidth="1" min="11" max="11"/>
  </cols>
  <sheetData>
    <row r="1" ht="22" customHeight="1">
      <c r="A1" s="15" t="inlineStr">
        <is>
          <t>Job fields</t>
        </is>
      </c>
    </row>
    <row r="2" ht="16" customHeight="1">
      <c r="A2" s="16" t="inlineStr">
        <is>
          <t>Source: the Create-job form and the Job list columns in the admin mockup.</t>
        </is>
      </c>
    </row>
    <row r="4" ht="30" customHeight="1">
      <c r="A4" s="17" t="inlineStr">
        <is>
          <t>#</t>
        </is>
      </c>
      <c r="B4" s="17" t="inlineStr">
        <is>
          <t>Section</t>
        </is>
      </c>
      <c r="C4" s="17" t="inlineStr">
        <is>
          <t>Field (label in the screen)</t>
        </is>
      </c>
      <c r="D4" s="17" t="inlineStr">
        <is>
          <t>Vietnamese / alt label</t>
        </is>
      </c>
      <c r="E4" s="17" t="inlineStr">
        <is>
          <t>Input type</t>
        </is>
      </c>
      <c r="F4" s="17" t="inlineStr">
        <is>
          <t>Required?</t>
        </is>
      </c>
      <c r="G4" s="17" t="inlineStr">
        <is>
          <t>Values come from</t>
        </is>
      </c>
      <c r="H4" s="17" t="inlineStr">
        <is>
          <t>Where it appears</t>
        </is>
      </c>
      <c r="I4" s="17" t="inlineStr">
        <is>
          <t>Rule / note</t>
        </is>
      </c>
      <c r="J4" s="17" t="inlineStr">
        <is>
          <t>KEEP?</t>
        </is>
      </c>
      <c r="K4" s="17" t="inlineStr">
        <is>
          <t>Client comment</t>
        </is>
      </c>
    </row>
    <row r="5" ht="17" customHeight="1">
      <c r="A5" s="18" t="inlineStr">
        <is>
          <t>POSTING SETUP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</row>
    <row r="6">
      <c r="A6" s="25" t="n">
        <v>1</v>
      </c>
      <c r="B6" s="26" t="inlineStr">
        <is>
          <t>Posting setup</t>
        </is>
      </c>
      <c r="C6" s="27" t="inlineStr">
        <is>
          <t>Company</t>
        </is>
      </c>
      <c r="D6" s="28" t="inlineStr">
        <is>
          <t>Công ty</t>
        </is>
      </c>
      <c r="E6" s="28" t="inlineStr">
        <is>
          <t>Searchable select</t>
        </is>
      </c>
      <c r="F6" s="29" t="inlineStr">
        <is>
          <t>Yes</t>
        </is>
      </c>
      <c r="G6" s="28" t="inlineStr">
        <is>
          <t>Existing companies</t>
        </is>
      </c>
      <c r="H6" s="28" t="inlineStr">
        <is>
          <t>Create · List</t>
        </is>
      </c>
      <c r="I6" s="28" t="inlineStr">
        <is>
          <t>Searchable by company name or Company ID. "Create company" is available inline if it does not exist yet.</t>
        </is>
      </c>
      <c r="J6" s="23" t="n"/>
      <c r="K6" s="24" t="n"/>
    </row>
    <row r="7">
      <c r="A7" s="25" t="n">
        <v>2</v>
      </c>
      <c r="B7" s="26" t="inlineStr">
        <is>
          <t>Posting setup</t>
        </is>
      </c>
      <c r="C7" s="27" t="inlineStr">
        <is>
          <t>Package</t>
        </is>
      </c>
      <c r="D7" s="28" t="inlineStr">
        <is>
          <t>Gói tin</t>
        </is>
      </c>
      <c r="E7" s="28" t="inlineStr">
        <is>
          <t>Select</t>
        </is>
      </c>
      <c r="F7" s="25" t="inlineStr">
        <is>
          <t>No</t>
        </is>
      </c>
      <c r="G7" s="28" t="inlineStr">
        <is>
          <t>Products / Packages module</t>
        </is>
      </c>
      <c r="H7" s="28" t="inlineStr">
        <is>
          <t>Create · Detail</t>
        </is>
      </c>
      <c r="I7" s="28" t="inlineStr">
        <is>
          <t>Decides the duration and the exposure the ad gets. Free package shown expiring in 14 days.</t>
        </is>
      </c>
      <c r="J7" s="23" t="n"/>
      <c r="K7" s="24" t="n"/>
    </row>
    <row r="8">
      <c r="A8" s="25" t="n">
        <v>3</v>
      </c>
      <c r="B8" s="26" t="inlineStr">
        <is>
          <t>Posting setup</t>
        </is>
      </c>
      <c r="C8" s="27" t="inlineStr">
        <is>
          <t>Exposure</t>
        </is>
      </c>
      <c r="D8" s="28" t="inlineStr">
        <is>
          <t>Hiển thị</t>
        </is>
      </c>
      <c r="E8" s="28" t="inlineStr">
        <is>
          <t>Toggle On / Off</t>
        </is>
      </c>
      <c r="F8" s="25" t="inlineStr">
        <is>
          <t>No</t>
        </is>
      </c>
      <c r="G8" s="28" t="inlineStr">
        <is>
          <t>User input</t>
        </is>
      </c>
      <c r="H8" s="28" t="inlineStr">
        <is>
          <t>Create · List</t>
        </is>
      </c>
      <c r="I8" s="28" t="inlineStr">
        <is>
          <t>Off hides the ad from the jobseeker site. Reversible before the deadline and does NOT close the job.</t>
        </is>
      </c>
      <c r="J8" s="23" t="n"/>
      <c r="K8" s="24" t="n"/>
    </row>
    <row r="9" ht="17" customHeight="1">
      <c r="A9" s="18" t="inlineStr">
        <is>
          <t>JOB INFORMATION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</row>
    <row r="10">
      <c r="A10" s="25" t="n">
        <v>4</v>
      </c>
      <c r="B10" s="26" t="inlineStr">
        <is>
          <t>Job information</t>
        </is>
      </c>
      <c r="C10" s="27" t="inlineStr">
        <is>
          <t>Job title (VI)</t>
        </is>
      </c>
      <c r="D10" s="28" t="inlineStr">
        <is>
          <t>Tiêu đề tin (Tiếng Việt)</t>
        </is>
      </c>
      <c r="E10" s="28" t="inlineStr">
        <is>
          <t>Text</t>
        </is>
      </c>
      <c r="F10" s="29" t="inlineStr">
        <is>
          <t>Yes</t>
        </is>
      </c>
      <c r="G10" s="28" t="inlineStr">
        <is>
          <t>User input</t>
        </is>
      </c>
      <c r="H10" s="28" t="inlineStr">
        <is>
          <t>Create · List · Jobseeker site</t>
        </is>
      </c>
      <c r="I10" s="28" t="inlineStr">
        <is>
          <t>Vietnamese is the default and required language, and the fallback shown wherever a translation is missing.</t>
        </is>
      </c>
      <c r="J10" s="23" t="n"/>
      <c r="K10" s="24" t="n"/>
    </row>
    <row r="11">
      <c r="A11" s="25" t="n">
        <v>5</v>
      </c>
      <c r="B11" s="26" t="inlineStr">
        <is>
          <t>Job information</t>
        </is>
      </c>
      <c r="C11" s="27" t="inlineStr">
        <is>
          <t>Job title (EN)</t>
        </is>
      </c>
      <c r="D11" s="28" t="inlineStr">
        <is>
          <t>Tiêu đề tin (English)</t>
        </is>
      </c>
      <c r="E11" s="28" t="inlineStr">
        <is>
          <t>Text</t>
        </is>
      </c>
      <c r="F11" s="25" t="inlineStr">
        <is>
          <t>No</t>
        </is>
      </c>
      <c r="G11" s="28" t="inlineStr">
        <is>
          <t>User input</t>
        </is>
      </c>
      <c r="H11" s="28" t="inlineStr">
        <is>
          <t>Create · Jobseeker site</t>
        </is>
      </c>
      <c r="I11" s="28" t="inlineStr">
        <is>
          <t>The mockup shows VI / EN tabs. The written rule also names Korean — CONFIRM which languages are in scope.</t>
        </is>
      </c>
      <c r="J11" s="23" t="n"/>
      <c r="K11" s="24" t="n"/>
    </row>
    <row r="12">
      <c r="A12" s="25" t="n">
        <v>6</v>
      </c>
      <c r="B12" s="26" t="inlineStr">
        <is>
          <t>Job information</t>
        </is>
      </c>
      <c r="C12" s="27" t="inlineStr">
        <is>
          <t>Job category</t>
        </is>
      </c>
      <c r="D12" s="28" t="inlineStr">
        <is>
          <t>Ngành / Nhóm nghề</t>
        </is>
      </c>
      <c r="E12" s="28" t="inlineStr">
        <is>
          <t>Select</t>
        </is>
      </c>
      <c r="F12" s="29" t="inlineStr">
        <is>
          <t>Yes</t>
        </is>
      </c>
      <c r="G12" s="28" t="inlineStr">
        <is>
          <t>Master data → Category</t>
        </is>
      </c>
      <c r="H12" s="28" t="inlineStr">
        <is>
          <t>Create · List · Search filter</t>
        </is>
      </c>
      <c r="I12" s="28" t="inlineStr">
        <is>
          <t>Also decides which Job roles can be picked below.</t>
        </is>
      </c>
      <c r="J12" s="23" t="n"/>
      <c r="K12" s="24" t="n"/>
    </row>
    <row r="13">
      <c r="A13" s="25" t="n">
        <v>7</v>
      </c>
      <c r="B13" s="26" t="inlineStr">
        <is>
          <t>Job information</t>
        </is>
      </c>
      <c r="C13" s="27" t="inlineStr">
        <is>
          <t>Job role</t>
        </is>
      </c>
      <c r="D13" s="28" t="inlineStr">
        <is>
          <t>Vị trí công việc</t>
        </is>
      </c>
      <c r="E13" s="28" t="inlineStr">
        <is>
          <t>Multi-select chips</t>
        </is>
      </c>
      <c r="F13" s="29" t="inlineStr">
        <is>
          <t>Yes</t>
        </is>
      </c>
      <c r="G13" s="28" t="inlineStr">
        <is>
          <t>Master data → Role (by category)</t>
        </is>
      </c>
      <c r="H13" s="28" t="inlineStr">
        <is>
          <t>Create · Search filter</t>
        </is>
      </c>
      <c r="I13" s="28" t="inlineStr">
        <is>
          <t>Roles come from the selected category. A new one can be typed in.</t>
        </is>
      </c>
      <c r="J13" s="23" t="n"/>
      <c r="K13" s="24" t="n"/>
    </row>
    <row r="14">
      <c r="A14" s="25" t="n">
        <v>8</v>
      </c>
      <c r="B14" s="26" t="inlineStr">
        <is>
          <t>Job information</t>
        </is>
      </c>
      <c r="C14" s="27" t="inlineStr">
        <is>
          <t>Job level</t>
        </is>
      </c>
      <c r="D14" s="28" t="inlineStr">
        <is>
          <t>Cấp bậc</t>
        </is>
      </c>
      <c r="E14" s="28" t="inlineStr">
        <is>
          <t>Select</t>
        </is>
      </c>
      <c r="F14" s="29" t="inlineStr">
        <is>
          <t>Yes</t>
        </is>
      </c>
      <c r="G14" s="28" t="inlineStr">
        <is>
          <t>Master data → Level</t>
        </is>
      </c>
      <c r="H14" s="28" t="inlineStr">
        <is>
          <t>Create · Search filter</t>
        </is>
      </c>
      <c r="I14" s="28" t="inlineStr">
        <is>
          <t>Intern/Student · Fresher/Entry · Experienced (non-manager) · Manager · Director and above.</t>
        </is>
      </c>
      <c r="J14" s="23" t="n"/>
      <c r="K14" s="24" t="n"/>
    </row>
    <row r="15">
      <c r="A15" s="25" t="n">
        <v>9</v>
      </c>
      <c r="B15" s="26" t="inlineStr">
        <is>
          <t>Job information</t>
        </is>
      </c>
      <c r="C15" s="27" t="inlineStr">
        <is>
          <t>Job type</t>
        </is>
      </c>
      <c r="D15" s="28" t="inlineStr">
        <is>
          <t>Loại hình công việc</t>
        </is>
      </c>
      <c r="E15" s="28" t="inlineStr">
        <is>
          <t>Select</t>
        </is>
      </c>
      <c r="F15" s="29" t="inlineStr">
        <is>
          <t>Yes</t>
        </is>
      </c>
      <c r="G15" s="28" t="inlineStr">
        <is>
          <t>Master data → Job type</t>
        </is>
      </c>
      <c r="H15" s="28" t="inlineStr">
        <is>
          <t>Create · Search filter</t>
        </is>
      </c>
      <c r="I15" s="28" t="inlineStr">
        <is>
          <t>Full-time · Part-time · Internship · Online · Freelancer · Seasonal · Other.</t>
        </is>
      </c>
      <c r="J15" s="23" t="n"/>
      <c r="K15" s="24" t="n"/>
    </row>
    <row r="16">
      <c r="A16" s="25" t="n">
        <v>10</v>
      </c>
      <c r="B16" s="26" t="inlineStr">
        <is>
          <t>Job information</t>
        </is>
      </c>
      <c r="C16" s="27" t="inlineStr">
        <is>
          <t>Industry</t>
        </is>
      </c>
      <c r="D16" s="28" t="inlineStr">
        <is>
          <t>Lĩnh vực công ty</t>
        </is>
      </c>
      <c r="E16" s="28" t="inlineStr">
        <is>
          <t>Select</t>
        </is>
      </c>
      <c r="F16" s="29" t="inlineStr">
        <is>
          <t>Yes</t>
        </is>
      </c>
      <c r="G16" s="28" t="inlineStr">
        <is>
          <t>Master data → Industry</t>
        </is>
      </c>
      <c r="H16" s="28" t="inlineStr">
        <is>
          <t>Create · Search filter</t>
        </is>
      </c>
      <c r="I16" s="28" t="inlineStr">
        <is>
          <t>OPEN QUESTION: the company record already has an industry. Should this be inherited from the company instead of re-asked on every job?</t>
        </is>
      </c>
      <c r="J16" s="23" t="n"/>
      <c r="K16" s="24" t="n"/>
    </row>
    <row r="17">
      <c r="A17" s="25" t="n">
        <v>11</v>
      </c>
      <c r="B17" s="26" t="inlineStr">
        <is>
          <t>Job information</t>
        </is>
      </c>
      <c r="C17" s="27" t="inlineStr">
        <is>
          <t>Skill</t>
        </is>
      </c>
      <c r="D17" s="28" t="inlineStr">
        <is>
          <t>Kỹ năng</t>
        </is>
      </c>
      <c r="E17" s="28" t="inlineStr">
        <is>
          <t>Multi-select chips</t>
        </is>
      </c>
      <c r="F17" s="25" t="inlineStr">
        <is>
          <t>No</t>
        </is>
      </c>
      <c r="G17" s="28" t="inlineStr">
        <is>
          <t>Master data → Skill (typeable)</t>
        </is>
      </c>
      <c r="H17" s="28" t="inlineStr">
        <is>
          <t>Create · Search filter</t>
        </is>
      </c>
      <c r="I17" s="28" t="n"/>
      <c r="J17" s="23" t="n"/>
      <c r="K17" s="24" t="n"/>
    </row>
    <row r="18">
      <c r="A18" s="25" t="n">
        <v>12</v>
      </c>
      <c r="B18" s="26" t="inlineStr">
        <is>
          <t>Job information</t>
        </is>
      </c>
      <c r="C18" s="27" t="inlineStr">
        <is>
          <t>Working location — province / city</t>
        </is>
      </c>
      <c r="D18" s="28" t="inlineStr">
        <is>
          <t>Địa điểm làm việc</t>
        </is>
      </c>
      <c r="E18" s="28" t="inlineStr">
        <is>
          <t>Select — province</t>
        </is>
      </c>
      <c r="F18" s="29" t="inlineStr">
        <is>
          <t>Yes</t>
        </is>
      </c>
      <c r="G18" s="28" t="inlineStr">
        <is>
          <t>Master data → Locations</t>
        </is>
      </c>
      <c r="H18" s="28" t="inlineStr">
        <is>
          <t>Create · List · Search filter</t>
        </is>
      </c>
      <c r="I18" s="28" t="inlineStr">
        <is>
          <t>Up to 3 locations per job. Each location is a province/city + a street address.</t>
        </is>
      </c>
      <c r="J18" s="23" t="n"/>
      <c r="K18" s="24" t="n"/>
    </row>
    <row r="19">
      <c r="A19" s="25" t="n">
        <v>13</v>
      </c>
      <c r="B19" s="26" t="inlineStr">
        <is>
          <t>Job information</t>
        </is>
      </c>
      <c r="C19" s="27" t="inlineStr">
        <is>
          <t>Working location — address</t>
        </is>
      </c>
      <c r="D19" s="28" t="inlineStr">
        <is>
          <t>Địa chỉ cụ thể</t>
        </is>
      </c>
      <c r="E19" s="28" t="inlineStr">
        <is>
          <t>Text</t>
        </is>
      </c>
      <c r="F19" s="29" t="inlineStr">
        <is>
          <t>Yes</t>
        </is>
      </c>
      <c r="G19" s="28" t="inlineStr">
        <is>
          <t>User input</t>
        </is>
      </c>
      <c r="H19" s="28" t="inlineStr">
        <is>
          <t>Create · Jobseeker site</t>
        </is>
      </c>
      <c r="I19" s="28" t="inlineStr">
        <is>
          <t>One per location row. Defaults can come from the company address.</t>
        </is>
      </c>
      <c r="J19" s="23" t="n"/>
      <c r="K19" s="24" t="n"/>
    </row>
    <row r="20">
      <c r="A20" s="25" t="n">
        <v>14</v>
      </c>
      <c r="B20" s="26" t="inlineStr">
        <is>
          <t>Job information</t>
        </is>
      </c>
      <c r="C20" s="27" t="inlineStr">
        <is>
          <t>Salary from</t>
        </is>
      </c>
      <c r="D20" s="28" t="inlineStr">
        <is>
          <t>Lương từ</t>
        </is>
      </c>
      <c r="E20" s="28" t="inlineStr">
        <is>
          <t>Number</t>
        </is>
      </c>
      <c r="F20" s="29" t="inlineStr">
        <is>
          <t>Yes</t>
        </is>
      </c>
      <c r="G20" s="28" t="inlineStr">
        <is>
          <t>User input</t>
        </is>
      </c>
      <c r="H20" s="28" t="inlineStr">
        <is>
          <t>Create · Jobseeker site</t>
        </is>
      </c>
      <c r="I20" s="28" t="n"/>
      <c r="J20" s="23" t="n"/>
      <c r="K20" s="24" t="n"/>
    </row>
    <row r="21">
      <c r="A21" s="25" t="n">
        <v>15</v>
      </c>
      <c r="B21" s="26" t="inlineStr">
        <is>
          <t>Job information</t>
        </is>
      </c>
      <c r="C21" s="27" t="inlineStr">
        <is>
          <t>Salary to</t>
        </is>
      </c>
      <c r="D21" s="28" t="inlineStr">
        <is>
          <t>Lương đến</t>
        </is>
      </c>
      <c r="E21" s="28" t="inlineStr">
        <is>
          <t>Number</t>
        </is>
      </c>
      <c r="F21" s="29" t="inlineStr">
        <is>
          <t>Yes</t>
        </is>
      </c>
      <c r="G21" s="28" t="inlineStr">
        <is>
          <t>User input</t>
        </is>
      </c>
      <c r="H21" s="28" t="inlineStr">
        <is>
          <t>Create · Jobseeker site</t>
        </is>
      </c>
      <c r="I21" s="28" t="n"/>
      <c r="J21" s="23" t="n"/>
      <c r="K21" s="24" t="n"/>
    </row>
    <row r="22">
      <c r="A22" s="25" t="n">
        <v>16</v>
      </c>
      <c r="B22" s="26" t="inlineStr">
        <is>
          <t>Job information</t>
        </is>
      </c>
      <c r="C22" s="27" t="inlineStr">
        <is>
          <t>Salary currency</t>
        </is>
      </c>
      <c r="D22" s="28" t="inlineStr">
        <is>
          <t>Đơn vị tiền</t>
        </is>
      </c>
      <c r="E22" s="28" t="inlineStr">
        <is>
          <t>Select</t>
        </is>
      </c>
      <c r="F22" s="29" t="inlineStr">
        <is>
          <t>Yes</t>
        </is>
      </c>
      <c r="G22" s="28" t="inlineStr">
        <is>
          <t>Master data → Currency</t>
        </is>
      </c>
      <c r="H22" s="28" t="inlineStr">
        <is>
          <t>Create · Jobseeker site</t>
        </is>
      </c>
      <c r="I22" s="28" t="inlineStr">
        <is>
          <t>USD · VND · JPY · CNY · EUR · INR · GBP · RUB · SGD.</t>
        </is>
      </c>
      <c r="J22" s="23" t="n"/>
      <c r="K22" s="24" t="n"/>
    </row>
    <row r="23">
      <c r="A23" s="25" t="n">
        <v>17</v>
      </c>
      <c r="B23" s="26" t="inlineStr">
        <is>
          <t>Job information</t>
        </is>
      </c>
      <c r="C23" s="27" t="inlineStr">
        <is>
          <t>Salary — show on the ad</t>
        </is>
      </c>
      <c r="D23" s="28" t="inlineStr">
        <is>
          <t>Hiển thị lương</t>
        </is>
      </c>
      <c r="E23" s="28" t="inlineStr">
        <is>
          <t>Toggle Show / Hide</t>
        </is>
      </c>
      <c r="F23" s="25" t="inlineStr">
        <is>
          <t>No</t>
        </is>
      </c>
      <c r="G23" s="28" t="inlineStr">
        <is>
          <t>User input</t>
        </is>
      </c>
      <c r="H23" s="28" t="inlineStr">
        <is>
          <t>Create · Jobseeker site</t>
        </is>
      </c>
      <c r="I23" s="28" t="inlineStr">
        <is>
          <t>Entered either way; this only controls whether jobseekers see the number. CONFIRM the salary-display policy.</t>
        </is>
      </c>
      <c r="J23" s="23" t="n"/>
      <c r="K23" s="24" t="n"/>
    </row>
    <row r="24">
      <c r="A24" s="25" t="n">
        <v>18</v>
      </c>
      <c r="B24" s="26" t="inlineStr">
        <is>
          <t>Job information</t>
        </is>
      </c>
      <c r="C24" s="27" t="inlineStr">
        <is>
          <t>Number of headcount</t>
        </is>
      </c>
      <c r="D24" s="28" t="inlineStr">
        <is>
          <t>Số lượng cần tuyển</t>
        </is>
      </c>
      <c r="E24" s="28" t="inlineStr">
        <is>
          <t>Stepper — number</t>
        </is>
      </c>
      <c r="F24" s="25" t="inlineStr">
        <is>
          <t>No</t>
        </is>
      </c>
      <c r="G24" s="28" t="inlineStr">
        <is>
          <t>User input</t>
        </is>
      </c>
      <c r="H24" s="28" t="inlineStr">
        <is>
          <t>Create · Jobseeker site</t>
        </is>
      </c>
      <c r="I24" s="28" t="inlineStr">
        <is>
          <t>Has its own show/hide toggle, off by default.</t>
        </is>
      </c>
      <c r="J24" s="23" t="n"/>
      <c r="K24" s="24" t="n"/>
    </row>
    <row r="25">
      <c r="A25" s="25" t="n">
        <v>19</v>
      </c>
      <c r="B25" s="26" t="inlineStr">
        <is>
          <t>Job information</t>
        </is>
      </c>
      <c r="C25" s="27" t="inlineStr">
        <is>
          <t>Application deadline</t>
        </is>
      </c>
      <c r="D25" s="28" t="inlineStr">
        <is>
          <t>Hạn nhận hồ sơ</t>
        </is>
      </c>
      <c r="E25" s="28" t="inlineStr">
        <is>
          <t>Date</t>
        </is>
      </c>
      <c r="F25" s="29" t="inlineStr">
        <is>
          <t>Yes</t>
        </is>
      </c>
      <c r="G25" s="28" t="inlineStr">
        <is>
          <t>User input</t>
        </is>
      </c>
      <c r="H25" s="28" t="inlineStr">
        <is>
          <t>Create · List · Jobseeker site</t>
        </is>
      </c>
      <c r="I25" s="28" t="inlineStr">
        <is>
          <t>When it passes, the job closes.</t>
        </is>
      </c>
      <c r="J25" s="23" t="n"/>
      <c r="K25" s="24" t="n"/>
    </row>
    <row r="26" ht="17" customHeight="1">
      <c r="A26" s="18" t="inlineStr">
        <is>
          <t>JOB CONTENT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</row>
    <row r="27">
      <c r="A27" s="25" t="n">
        <v>20</v>
      </c>
      <c r="B27" s="26" t="inlineStr">
        <is>
          <t>Job content</t>
        </is>
      </c>
      <c r="C27" s="27" t="inlineStr">
        <is>
          <t>Job description</t>
        </is>
      </c>
      <c r="D27" s="28" t="inlineStr">
        <is>
          <t>Mô tả công việc</t>
        </is>
      </c>
      <c r="E27" s="28" t="inlineStr">
        <is>
          <t>Rich text — VI + EN</t>
        </is>
      </c>
      <c r="F27" s="29" t="inlineStr">
        <is>
          <t>Yes</t>
        </is>
      </c>
      <c r="G27" s="28" t="inlineStr">
        <is>
          <t>User input</t>
        </is>
      </c>
      <c r="H27" s="28" t="inlineStr">
        <is>
          <t>Create · Jobseeker site</t>
        </is>
      </c>
      <c r="I27" s="28" t="n"/>
      <c r="J27" s="23" t="n"/>
      <c r="K27" s="24" t="n"/>
    </row>
    <row r="28">
      <c r="A28" s="25" t="n">
        <v>21</v>
      </c>
      <c r="B28" s="26" t="inlineStr">
        <is>
          <t>Job content</t>
        </is>
      </c>
      <c r="C28" s="27" t="inlineStr">
        <is>
          <t>Requirements</t>
        </is>
      </c>
      <c r="D28" s="28" t="inlineStr">
        <is>
          <t>Yêu cầu ứng viên</t>
        </is>
      </c>
      <c r="E28" s="28" t="inlineStr">
        <is>
          <t>Rich text — VI + EN</t>
        </is>
      </c>
      <c r="F28" s="29" t="inlineStr">
        <is>
          <t>Yes</t>
        </is>
      </c>
      <c r="G28" s="28" t="inlineStr">
        <is>
          <t>User input</t>
        </is>
      </c>
      <c r="H28" s="28" t="inlineStr">
        <is>
          <t>Create · Jobseeker site</t>
        </is>
      </c>
      <c r="I28" s="28" t="n"/>
      <c r="J28" s="23" t="n"/>
      <c r="K28" s="24" t="n"/>
    </row>
    <row r="29">
      <c r="A29" s="25" t="n">
        <v>22</v>
      </c>
      <c r="B29" s="26" t="inlineStr">
        <is>
          <t>Job content</t>
        </is>
      </c>
      <c r="C29" s="27" t="inlineStr">
        <is>
          <t>Benefits</t>
        </is>
      </c>
      <c r="D29" s="28" t="inlineStr">
        <is>
          <t>Phúc lợi</t>
        </is>
      </c>
      <c r="E29" s="28" t="inlineStr">
        <is>
          <t>Rich text — VI + EN</t>
        </is>
      </c>
      <c r="F29" s="25" t="inlineStr">
        <is>
          <t>No</t>
        </is>
      </c>
      <c r="G29" s="28" t="inlineStr">
        <is>
          <t>User input</t>
        </is>
      </c>
      <c r="H29" s="28" t="inlineStr">
        <is>
          <t>Create · Jobseeker site</t>
        </is>
      </c>
      <c r="I29" s="28" t="n"/>
      <c r="J29" s="23" t="n"/>
      <c r="K29" s="24" t="n"/>
    </row>
    <row r="30" ht="17" customHeight="1">
      <c r="A30" s="18" t="inlineStr">
        <is>
          <t>CANDIDATE EXPECTATION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</row>
    <row r="31">
      <c r="A31" s="25" t="n">
        <v>23</v>
      </c>
      <c r="B31" s="26" t="inlineStr">
        <is>
          <t>Candidate expectation</t>
        </is>
      </c>
      <c r="C31" s="27" t="inlineStr">
        <is>
          <t>Minimum years of experience</t>
        </is>
      </c>
      <c r="D31" s="28" t="inlineStr">
        <is>
          <t>Số năm kinh nghiệm tối thiểu</t>
        </is>
      </c>
      <c r="E31" s="28" t="inlineStr">
        <is>
          <t>Stepper — number</t>
        </is>
      </c>
      <c r="F31" s="25" t="inlineStr">
        <is>
          <t>No</t>
        </is>
      </c>
      <c r="G31" s="28" t="inlineStr">
        <is>
          <t>User input</t>
        </is>
      </c>
      <c r="H31" s="28" t="inlineStr">
        <is>
          <t>Create · Search filter</t>
        </is>
      </c>
      <c r="I31" s="28" t="n"/>
      <c r="J31" s="23" t="n"/>
      <c r="K31" s="24" t="n"/>
    </row>
    <row r="32">
      <c r="A32" s="25" t="n">
        <v>24</v>
      </c>
      <c r="B32" s="26" t="inlineStr">
        <is>
          <t>Candidate expectation</t>
        </is>
      </c>
      <c r="C32" s="27" t="inlineStr">
        <is>
          <t>Minimum education level</t>
        </is>
      </c>
      <c r="D32" s="28" t="inlineStr">
        <is>
          <t>Trình độ học vấn tối thiểu</t>
        </is>
      </c>
      <c r="E32" s="28" t="inlineStr">
        <is>
          <t>Select</t>
        </is>
      </c>
      <c r="F32" s="25" t="inlineStr">
        <is>
          <t>No</t>
        </is>
      </c>
      <c r="G32" s="28" t="inlineStr">
        <is>
          <t>Master data → Education</t>
        </is>
      </c>
      <c r="H32" s="28" t="inlineStr">
        <is>
          <t>Create · Search filter</t>
        </is>
      </c>
      <c r="I32" s="28" t="inlineStr">
        <is>
          <t>High school · Associate's · College · Bachelor · Master · Doctorate · Others.</t>
        </is>
      </c>
      <c r="J32" s="23" t="n"/>
      <c r="K32" s="24" t="n"/>
    </row>
    <row r="33">
      <c r="A33" s="30" t="n">
        <v>25</v>
      </c>
      <c r="B33" s="31" t="inlineStr">
        <is>
          <t>Candidate expectation</t>
        </is>
      </c>
      <c r="C33" s="32" t="inlineStr">
        <is>
          <t>Nationality</t>
        </is>
      </c>
      <c r="D33" s="33" t="inlineStr">
        <is>
          <t>Quốc tịch ứng viên</t>
        </is>
      </c>
      <c r="E33" s="33" t="inlineStr">
        <is>
          <t>Radio — Any / Vietnamese / Foreigner</t>
        </is>
      </c>
      <c r="F33" s="30" t="inlineStr">
        <is>
          <t>No</t>
        </is>
      </c>
      <c r="G33" s="33" t="inlineStr">
        <is>
          <t>Fixed list</t>
        </is>
      </c>
      <c r="H33" s="33" t="inlineStr">
        <is>
          <t>Create · Jobseeker site</t>
        </is>
      </c>
      <c r="I33" s="33" t="inlineStr">
        <is>
          <t>LEGALLY SENSITIVE for a Vietnamese job ad. Decide whether to collect it at all, and whether to display it.</t>
        </is>
      </c>
      <c r="J33" s="23" t="n"/>
      <c r="K33" s="24" t="n"/>
    </row>
    <row r="34">
      <c r="A34" s="30" t="n">
        <v>26</v>
      </c>
      <c r="B34" s="31" t="inlineStr">
        <is>
          <t>Candidate expectation</t>
        </is>
      </c>
      <c r="C34" s="32" t="inlineStr">
        <is>
          <t>Gender</t>
        </is>
      </c>
      <c r="D34" s="33" t="inlineStr">
        <is>
          <t>Giới tính</t>
        </is>
      </c>
      <c r="E34" s="33" t="inlineStr">
        <is>
          <t>Radio — Any / Male / Female</t>
        </is>
      </c>
      <c r="F34" s="30" t="inlineStr">
        <is>
          <t>No</t>
        </is>
      </c>
      <c r="G34" s="33" t="inlineStr">
        <is>
          <t>Fixed list</t>
        </is>
      </c>
      <c r="H34" s="33" t="inlineStr">
        <is>
          <t>Create · Jobseeker site</t>
        </is>
      </c>
      <c r="I34" s="33" t="inlineStr">
        <is>
          <t>LEGALLY SENSITIVE — same decision.</t>
        </is>
      </c>
      <c r="J34" s="23" t="n"/>
      <c r="K34" s="24" t="n"/>
    </row>
    <row r="35">
      <c r="A35" s="30" t="n">
        <v>27</v>
      </c>
      <c r="B35" s="31" t="inlineStr">
        <is>
          <t>Candidate expectation</t>
        </is>
      </c>
      <c r="C35" s="32" t="inlineStr">
        <is>
          <t>Marital status</t>
        </is>
      </c>
      <c r="D35" s="33" t="inlineStr">
        <is>
          <t>Tình trạng hôn nhân</t>
        </is>
      </c>
      <c r="E35" s="33" t="inlineStr">
        <is>
          <t>Radio — Any / Single / Married</t>
        </is>
      </c>
      <c r="F35" s="30" t="inlineStr">
        <is>
          <t>No</t>
        </is>
      </c>
      <c r="G35" s="33" t="inlineStr">
        <is>
          <t>Fixed list</t>
        </is>
      </c>
      <c r="H35" s="33" t="inlineStr">
        <is>
          <t>Create · Jobseeker site</t>
        </is>
      </c>
      <c r="I35" s="33" t="inlineStr">
        <is>
          <t>LEGALLY SENSITIVE — same decision. Recommend dropping it: it is the hardest of the four to justify.</t>
        </is>
      </c>
      <c r="J35" s="23" t="n"/>
      <c r="K35" s="24" t="n"/>
    </row>
    <row r="36">
      <c r="A36" s="30" t="n">
        <v>28</v>
      </c>
      <c r="B36" s="31" t="inlineStr">
        <is>
          <t>Candidate expectation</t>
        </is>
      </c>
      <c r="C36" s="32" t="inlineStr">
        <is>
          <t>Age preference (from – to)</t>
        </is>
      </c>
      <c r="D36" s="33" t="inlineStr">
        <is>
          <t>Độ tuổi</t>
        </is>
      </c>
      <c r="E36" s="33" t="inlineStr">
        <is>
          <t>Number range + show toggle</t>
        </is>
      </c>
      <c r="F36" s="30" t="inlineStr">
        <is>
          <t>No</t>
        </is>
      </c>
      <c r="G36" s="33" t="inlineStr">
        <is>
          <t>User input</t>
        </is>
      </c>
      <c r="H36" s="33" t="inlineStr">
        <is>
          <t>Create · Jobseeker site</t>
        </is>
      </c>
      <c r="I36" s="33" t="inlineStr">
        <is>
          <t>LEGALLY SENSITIVE — same decision. Show toggle is off by default.</t>
        </is>
      </c>
      <c r="J36" s="23" t="n"/>
      <c r="K36" s="24" t="n"/>
    </row>
    <row r="37">
      <c r="A37" s="25" t="n">
        <v>29</v>
      </c>
      <c r="B37" s="26" t="inlineStr">
        <is>
          <t>Candidate expectation</t>
        </is>
      </c>
      <c r="C37" s="27" t="inlineStr">
        <is>
          <t>Cover letter required?</t>
        </is>
      </c>
      <c r="D37" s="28" t="inlineStr">
        <is>
          <t>Yêu cầu thư giới thiệu</t>
        </is>
      </c>
      <c r="E37" s="28" t="inlineStr">
        <is>
          <t>Radio — 3 options</t>
        </is>
      </c>
      <c r="F37" s="25" t="inlineStr">
        <is>
          <t>No</t>
        </is>
      </c>
      <c r="G37" s="28" t="inlineStr">
        <is>
          <t>Fixed list</t>
        </is>
      </c>
      <c r="H37" s="28" t="inlineStr">
        <is>
          <t>Create · Apply flow</t>
        </is>
      </c>
      <c r="I37" s="28" t="inlineStr">
        <is>
          <t>Always required / optional / never required. Changes what the jobseeker must upload to apply.</t>
        </is>
      </c>
      <c r="J37" s="23" t="n"/>
      <c r="K37" s="24" t="n"/>
    </row>
    <row r="38" ht="17" customHeight="1">
      <c r="A38" s="18" t="inlineStr">
        <is>
          <t>INTERNAL (HQ ONLY)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</row>
    <row r="39">
      <c r="A39" s="25" t="n">
        <v>30</v>
      </c>
      <c r="B39" s="26" t="inlineStr">
        <is>
          <t>Internal (HQ only)</t>
        </is>
      </c>
      <c r="C39" s="27" t="inlineStr">
        <is>
          <t>Internal notes</t>
        </is>
      </c>
      <c r="D39" s="28" t="inlineStr">
        <is>
          <t>Ghi chú nội bộ</t>
        </is>
      </c>
      <c r="E39" s="28" t="inlineStr">
        <is>
          <t>Long text</t>
        </is>
      </c>
      <c r="F39" s="25" t="inlineStr">
        <is>
          <t>No</t>
        </is>
      </c>
      <c r="G39" s="28" t="inlineStr">
        <is>
          <t>User input</t>
        </is>
      </c>
      <c r="H39" s="28" t="inlineStr">
        <is>
          <t>Create · Detail</t>
        </is>
      </c>
      <c r="I39" s="28" t="inlineStr">
        <is>
          <t>Approval context, special instructions, follow-ups. Never shown publicly.</t>
        </is>
      </c>
      <c r="J39" s="23" t="n"/>
      <c r="K39" s="24" t="n"/>
    </row>
    <row r="40" ht="17" customHeight="1">
      <c r="A40" s="18" t="inlineStr">
        <is>
          <t>SYSTEM / DERIVED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</row>
    <row r="41">
      <c r="A41" s="19" t="n">
        <v>31</v>
      </c>
      <c r="B41" s="20" t="inlineStr">
        <is>
          <t>System / derived</t>
        </is>
      </c>
      <c r="C41" s="21" t="inlineStr">
        <is>
          <t>Job ID</t>
        </is>
      </c>
      <c r="D41" s="22" t="inlineStr">
        <is>
          <t>Mã tin</t>
        </is>
      </c>
      <c r="E41" s="22" t="inlineStr">
        <is>
          <t>Auto text</t>
        </is>
      </c>
      <c r="F41" s="19" t="inlineStr">
        <is>
          <t>n/a</t>
        </is>
      </c>
      <c r="G41" s="22" t="inlineStr">
        <is>
          <t>System</t>
        </is>
      </c>
      <c r="H41" s="22" t="inlineStr">
        <is>
          <t>Detail · List</t>
        </is>
      </c>
      <c r="I41" s="22" t="inlineStr">
        <is>
          <t>Assigned on save.</t>
        </is>
      </c>
      <c r="J41" s="23" t="n"/>
      <c r="K41" s="24" t="n"/>
    </row>
    <row r="42">
      <c r="A42" s="19" t="n">
        <v>32</v>
      </c>
      <c r="B42" s="20" t="inlineStr">
        <is>
          <t>System / derived</t>
        </is>
      </c>
      <c r="C42" s="21" t="inlineStr">
        <is>
          <t>Job status</t>
        </is>
      </c>
      <c r="D42" s="22" t="inlineStr">
        <is>
          <t>Trạng thái tin</t>
        </is>
      </c>
      <c r="E42" s="22" t="inlineStr">
        <is>
          <t>Badge — 4 values</t>
        </is>
      </c>
      <c r="F42" s="19" t="inlineStr">
        <is>
          <t>n/a</t>
        </is>
      </c>
      <c r="G42" s="22" t="inlineStr">
        <is>
          <t>Derived</t>
        </is>
      </c>
      <c r="H42" s="22" t="inlineStr">
        <is>
          <t>List tabs · Detail</t>
        </is>
      </c>
      <c r="I42" s="22" t="inlineStr">
        <is>
          <t>Draft / Schedule / Open / Closed. Schedule auto-publishes to Open at the scheduled time.</t>
        </is>
      </c>
      <c r="J42" s="23" t="n"/>
      <c r="K42" s="24" t="n"/>
    </row>
    <row r="43">
      <c r="A43" s="19" t="n">
        <v>33</v>
      </c>
      <c r="B43" s="20" t="inlineStr">
        <is>
          <t>System / derived</t>
        </is>
      </c>
      <c r="C43" s="21" t="inlineStr">
        <is>
          <t>Scheduled publish time</t>
        </is>
      </c>
      <c r="D43" s="22" t="inlineStr">
        <is>
          <t>Thời điểm đăng</t>
        </is>
      </c>
      <c r="E43" s="22" t="inlineStr">
        <is>
          <t>Date + time (GMT+7)</t>
        </is>
      </c>
      <c r="F43" s="19" t="inlineStr">
        <is>
          <t>Conditional</t>
        </is>
      </c>
      <c r="G43" s="22" t="inlineStr">
        <is>
          <t>User input</t>
        </is>
      </c>
      <c r="H43" s="22" t="inlineStr">
        <is>
          <t>Create footer · Detail</t>
        </is>
      </c>
      <c r="I43" s="22" t="inlineStr">
        <is>
          <t>Asked only when the rep chooses "Schedule for later" instead of "Post now".</t>
        </is>
      </c>
      <c r="J43" s="23" t="n"/>
      <c r="K43" s="24" t="n"/>
    </row>
    <row r="44">
      <c r="A44" s="19" t="n">
        <v>34</v>
      </c>
      <c r="B44" s="20" t="inlineStr">
        <is>
          <t>System / derived</t>
        </is>
      </c>
      <c r="C44" s="21" t="inlineStr">
        <is>
          <t>Created by</t>
        </is>
      </c>
      <c r="D44" s="22" t="inlineStr">
        <is>
          <t>Người tạo</t>
        </is>
      </c>
      <c r="E44" s="22" t="inlineStr">
        <is>
          <t>Badge — Admin / Company</t>
        </is>
      </c>
      <c r="F44" s="19" t="inlineStr">
        <is>
          <t>n/a</t>
        </is>
      </c>
      <c r="G44" s="22" t="inlineStr">
        <is>
          <t>System</t>
        </is>
      </c>
      <c r="H44" s="22" t="inlineStr">
        <is>
          <t>List · Detail</t>
        </is>
      </c>
      <c r="I44" s="22" t="inlineStr">
        <is>
          <t>Whether HQ posted it or the company posted it themselves.</t>
        </is>
      </c>
      <c r="J44" s="23" t="n"/>
      <c r="K44" s="24" t="n"/>
    </row>
    <row r="45">
      <c r="A45" s="19" t="n">
        <v>35</v>
      </c>
      <c r="B45" s="20" t="inlineStr">
        <is>
          <t>System / derived</t>
        </is>
      </c>
      <c r="C45" s="21" t="inlineStr">
        <is>
          <t>Posted date</t>
        </is>
      </c>
      <c r="D45" s="22" t="inlineStr">
        <is>
          <t>Ngày đăng</t>
        </is>
      </c>
      <c r="E45" s="22" t="inlineStr">
        <is>
          <t>Date</t>
        </is>
      </c>
      <c r="F45" s="19" t="inlineStr">
        <is>
          <t>n/a</t>
        </is>
      </c>
      <c r="G45" s="22" t="inlineStr">
        <is>
          <t>System</t>
        </is>
      </c>
      <c r="H45" s="22" t="inlineStr">
        <is>
          <t>List · Detail</t>
        </is>
      </c>
      <c r="I45" s="22" t="n"/>
      <c r="J45" s="23" t="n"/>
      <c r="K45" s="24" t="n"/>
    </row>
    <row r="46">
      <c r="A46" s="19" t="n">
        <v>36</v>
      </c>
      <c r="B46" s="20" t="inlineStr">
        <is>
          <t>System / derived</t>
        </is>
      </c>
      <c r="C46" s="21" t="inlineStr">
        <is>
          <t>Views · Saves · Applied</t>
        </is>
      </c>
      <c r="D46" s="22" t="inlineStr">
        <is>
          <t>Lượt xem · Lưu · Ứng tuyển</t>
        </is>
      </c>
      <c r="E46" s="22" t="inlineStr">
        <is>
          <t>Number</t>
        </is>
      </c>
      <c r="F46" s="19" t="inlineStr">
        <is>
          <t>n/a</t>
        </is>
      </c>
      <c r="G46" s="22" t="inlineStr">
        <is>
          <t>Derived</t>
        </is>
      </c>
      <c r="H46" s="22" t="inlineStr">
        <is>
          <t>List · Detail</t>
        </is>
      </c>
      <c r="I46" s="22" t="inlineStr">
        <is>
          <t>Performance counters, read-only.</t>
        </is>
      </c>
      <c r="J46" s="23" t="n"/>
      <c r="K46" s="24" t="n"/>
    </row>
  </sheetData>
  <autoFilter ref="A4:K46"/>
  <dataValidations count="1">
    <dataValidation sqref="J5:J46" showDropDown="0" showInputMessage="0" showErrorMessage="0" allowBlank="1" error="Pick one of: Keep / Keep – change it / Remove / Decide later" prompt="Keep · Keep – change it · Remove · Decide later" type="list">
      <formula1>"Keep,Keep – change it,Remove,Decide later"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2026-08-06T05:52:10Z</dcterms:created>
  <dcterms:modified xsi:type="dcterms:W3CDTF">2026-08-06T05:52:11Z</dcterms:modified>
</cp:coreProperties>
</file>